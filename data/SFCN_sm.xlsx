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ab\result\data\"/>
    </mc:Choice>
  </mc:AlternateContent>
  <xr:revisionPtr revIDLastSave="0" documentId="13_ncr:1_{1FABE775-C749-46AB-990A-52A14BC4C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claren_T1WI" sheetId="1" r:id="rId1"/>
    <sheet name="MMRR_T1WI" sheetId="2" r:id="rId2"/>
    <sheet name="OAS1_T1WI" sheetId="3" r:id="rId3"/>
    <sheet name="Maclaren_GMP" sheetId="4" r:id="rId4"/>
    <sheet name="MMRR_GMP" sheetId="5" r:id="rId5"/>
    <sheet name="OAS1_GMP" sheetId="6" r:id="rId6"/>
    <sheet name="Maclaren_WMP" sheetId="7" r:id="rId7"/>
    <sheet name="MMRR_WMP" sheetId="8" r:id="rId8"/>
    <sheet name="OAS1_WMP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1" l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3" i="8"/>
  <c r="D3" i="8"/>
  <c r="E2" i="8"/>
  <c r="D2" i="8"/>
  <c r="E2" i="9"/>
  <c r="D2" i="3"/>
  <c r="D2" i="6"/>
  <c r="D2" i="9"/>
  <c r="E2" i="3"/>
  <c r="E2" i="6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5" i="3"/>
  <c r="E36" i="3"/>
  <c r="E37" i="3"/>
  <c r="E38" i="3"/>
  <c r="E39" i="3"/>
  <c r="E40" i="3"/>
  <c r="E4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</calcChain>
</file>

<file path=xl/sharedStrings.xml><?xml version="1.0" encoding="utf-8"?>
<sst xmlns="http://schemas.openxmlformats.org/spreadsheetml/2006/main" count="798" uniqueCount="234">
  <si>
    <t>Subject ID</t>
  </si>
  <si>
    <t>True Age</t>
  </si>
  <si>
    <t>Predicted Age</t>
  </si>
  <si>
    <t>sub-01_run-01</t>
  </si>
  <si>
    <t>sub-01_run-02</t>
  </si>
  <si>
    <t>sub-01_run-03</t>
  </si>
  <si>
    <t>sub-01_run-04</t>
  </si>
  <si>
    <t>sub-01_run-05</t>
  </si>
  <si>
    <t>sub-01_run-06</t>
  </si>
  <si>
    <t>sub-01_run-07</t>
  </si>
  <si>
    <t>sub-01_run-08</t>
  </si>
  <si>
    <t>sub-01_run-09</t>
  </si>
  <si>
    <t>sub-01_run-10</t>
  </si>
  <si>
    <t>sub-01_run-11</t>
  </si>
  <si>
    <t>sub-01_run-12</t>
  </si>
  <si>
    <t>sub-01_run-13</t>
  </si>
  <si>
    <t>sub-01_run-14</t>
  </si>
  <si>
    <t>sub-01_run-15</t>
  </si>
  <si>
    <t>sub-01_run-16</t>
  </si>
  <si>
    <t>sub-01_run-17</t>
  </si>
  <si>
    <t>sub-01_run-18</t>
  </si>
  <si>
    <t>sub-01_run-19</t>
  </si>
  <si>
    <t>sub-01_run-20</t>
  </si>
  <si>
    <t>sub-01_run-21</t>
  </si>
  <si>
    <t>sub-01_run-22</t>
  </si>
  <si>
    <t>sub-01_run-23</t>
  </si>
  <si>
    <t>sub-01_run-24</t>
  </si>
  <si>
    <t>sub-01_run-25</t>
  </si>
  <si>
    <t>sub-01_run-26</t>
  </si>
  <si>
    <t>sub-01_run-27</t>
  </si>
  <si>
    <t>sub-01_run-28</t>
  </si>
  <si>
    <t>sub-01_run-29</t>
  </si>
  <si>
    <t>sub-01_run-30</t>
  </si>
  <si>
    <t>sub-01_run-31</t>
  </si>
  <si>
    <t>sub-01_run-32</t>
  </si>
  <si>
    <t>sub-01_run-33</t>
  </si>
  <si>
    <t>sub-01_run-34</t>
  </si>
  <si>
    <t>sub-01_run-35</t>
  </si>
  <si>
    <t>sub-01_run-36</t>
  </si>
  <si>
    <t>sub-01_run-37</t>
  </si>
  <si>
    <t>sub-01_run-38</t>
  </si>
  <si>
    <t>sub-01_run-39</t>
  </si>
  <si>
    <t>sub-01_run-40</t>
  </si>
  <si>
    <t>sub-02_run-01</t>
  </si>
  <si>
    <t>sub-02_run-02</t>
  </si>
  <si>
    <t>sub-02_run-03</t>
  </si>
  <si>
    <t>sub-02_run-04</t>
  </si>
  <si>
    <t>sub-02_run-05</t>
  </si>
  <si>
    <t>sub-02_run-06</t>
  </si>
  <si>
    <t>sub-02_run-07</t>
  </si>
  <si>
    <t>sub-02_run-08</t>
  </si>
  <si>
    <t>sub-02_run-09</t>
  </si>
  <si>
    <t>sub-02_run-10</t>
  </si>
  <si>
    <t>sub-02_run-11</t>
  </si>
  <si>
    <t>sub-02_run-12</t>
  </si>
  <si>
    <t>sub-02_run-13</t>
  </si>
  <si>
    <t>sub-02_run-14</t>
  </si>
  <si>
    <t>sub-02_run-15</t>
  </si>
  <si>
    <t>sub-02_run-16</t>
  </si>
  <si>
    <t>sub-02_run-17</t>
  </si>
  <si>
    <t>sub-02_run-18</t>
  </si>
  <si>
    <t>sub-02_run-19</t>
  </si>
  <si>
    <t>sub-02_run-20</t>
  </si>
  <si>
    <t>sub-02_run-21</t>
  </si>
  <si>
    <t>sub-02_run-22</t>
  </si>
  <si>
    <t>sub-02_run-23</t>
  </si>
  <si>
    <t>sub-02_run-24</t>
  </si>
  <si>
    <t>sub-02_run-25</t>
  </si>
  <si>
    <t>sub-02_run-26</t>
  </si>
  <si>
    <t>sub-02_run-27</t>
  </si>
  <si>
    <t>sub-02_run-28</t>
  </si>
  <si>
    <t>sub-02_run-29</t>
  </si>
  <si>
    <t>sub-02_run-30</t>
  </si>
  <si>
    <t>sub-02_run-31</t>
  </si>
  <si>
    <t>sub-02_run-32</t>
  </si>
  <si>
    <t>sub-02_run-33</t>
  </si>
  <si>
    <t>sub-02_run-34</t>
  </si>
  <si>
    <t>sub-02_run-35</t>
  </si>
  <si>
    <t>sub-02_run-36</t>
  </si>
  <si>
    <t>sub-02_run-37</t>
  </si>
  <si>
    <t>sub-02_run-38</t>
  </si>
  <si>
    <t>sub-02_run-39</t>
  </si>
  <si>
    <t>sub-02_run-40</t>
  </si>
  <si>
    <t>sub-03_run-01</t>
  </si>
  <si>
    <t>sub-03_run-02</t>
  </si>
  <si>
    <t>sub-03_run-03</t>
  </si>
  <si>
    <t>sub-03_run-04</t>
  </si>
  <si>
    <t>sub-03_run-05</t>
  </si>
  <si>
    <t>sub-03_run-06</t>
  </si>
  <si>
    <t>sub-03_run-07</t>
  </si>
  <si>
    <t>sub-03_run-08</t>
  </si>
  <si>
    <t>sub-03_run-09</t>
  </si>
  <si>
    <t>sub-03_run-10</t>
  </si>
  <si>
    <t>sub-03_run-11</t>
  </si>
  <si>
    <t>sub-03_run-12</t>
  </si>
  <si>
    <t>sub-03_run-13</t>
  </si>
  <si>
    <t>sub-03_run-14</t>
  </si>
  <si>
    <t>sub-03_run-15</t>
  </si>
  <si>
    <t>sub-03_run-16</t>
  </si>
  <si>
    <t>sub-03_run-17</t>
  </si>
  <si>
    <t>sub-03_run-18</t>
  </si>
  <si>
    <t>sub-03_run-19</t>
  </si>
  <si>
    <t>sub-03_run-20</t>
  </si>
  <si>
    <t>sub-03_run-21</t>
  </si>
  <si>
    <t>sub-03_run-22</t>
  </si>
  <si>
    <t>sub-03_run-23</t>
  </si>
  <si>
    <t>sub-03_run-24</t>
  </si>
  <si>
    <t>sub-03_run-25</t>
  </si>
  <si>
    <t>sub-03_run-26</t>
  </si>
  <si>
    <t>sub-03_run-27</t>
  </si>
  <si>
    <t>sub-03_run-28</t>
  </si>
  <si>
    <t>sub-03_run-29</t>
  </si>
  <si>
    <t>sub-03_run-30</t>
  </si>
  <si>
    <t>sub-03_run-31</t>
  </si>
  <si>
    <t>sub-03_run-32</t>
  </si>
  <si>
    <t>sub-03_run-33</t>
  </si>
  <si>
    <t>sub-03_run-34</t>
  </si>
  <si>
    <t>sub-03_run-35</t>
  </si>
  <si>
    <t>sub-03_run-36</t>
  </si>
  <si>
    <t>sub-03_run-37</t>
  </si>
  <si>
    <t>sub-03_run-38</t>
  </si>
  <si>
    <t>sub-03_run-39</t>
  </si>
  <si>
    <t>sub-03_run-40</t>
  </si>
  <si>
    <t>sub_113_30</t>
  </si>
  <si>
    <t>sub_113_33</t>
  </si>
  <si>
    <t>sub_127_7</t>
  </si>
  <si>
    <t>sub_127_34</t>
  </si>
  <si>
    <t>sub_142_6</t>
  </si>
  <si>
    <t>sub_142_20</t>
  </si>
  <si>
    <t>sub_239_12</t>
  </si>
  <si>
    <t>sub_239_19</t>
  </si>
  <si>
    <t>sub_346_39</t>
  </si>
  <si>
    <t>sub_346_41</t>
  </si>
  <si>
    <t>sub_422_9</t>
  </si>
  <si>
    <t>sub_422_42</t>
  </si>
  <si>
    <t>sub_492_18</t>
  </si>
  <si>
    <t>sub_492_38</t>
  </si>
  <si>
    <t>sub_502_32</t>
  </si>
  <si>
    <t>sub_502_36</t>
  </si>
  <si>
    <t>sub_505_16</t>
  </si>
  <si>
    <t>sub_505_35</t>
  </si>
  <si>
    <t>sub_656_28</t>
  </si>
  <si>
    <t>sub_656_40</t>
  </si>
  <si>
    <t>sub_679_3</t>
  </si>
  <si>
    <t>sub_679_22</t>
  </si>
  <si>
    <t>sub_742_8</t>
  </si>
  <si>
    <t>sub_742_29</t>
  </si>
  <si>
    <t>sub_800_23</t>
  </si>
  <si>
    <t>sub_800_27</t>
  </si>
  <si>
    <t>sub_814_15</t>
  </si>
  <si>
    <t>sub_814_26</t>
  </si>
  <si>
    <t>sub_815_10</t>
  </si>
  <si>
    <t>sub_815_21</t>
  </si>
  <si>
    <t>sub_849_1</t>
  </si>
  <si>
    <t>sub_849_25</t>
  </si>
  <si>
    <t>sub_906_4</t>
  </si>
  <si>
    <t>sub_906_11</t>
  </si>
  <si>
    <t>sub_913_5</t>
  </si>
  <si>
    <t>sub_913_31</t>
  </si>
  <si>
    <t>sub_916_13</t>
  </si>
  <si>
    <t>sub_916_24</t>
  </si>
  <si>
    <t>sub_934_2</t>
  </si>
  <si>
    <t>sub_934_37</t>
  </si>
  <si>
    <t>sub_959_14</t>
  </si>
  <si>
    <t>sub_959_17</t>
  </si>
  <si>
    <t>OAS1_0061_MR1</t>
  </si>
  <si>
    <t>OAS1_0061_MR2</t>
  </si>
  <si>
    <t>OAS1_0080_MR1</t>
  </si>
  <si>
    <t>OAS1_0080_MR2</t>
  </si>
  <si>
    <t>OAS1_0092_MR1</t>
  </si>
  <si>
    <t>OAS1_0092_MR2</t>
  </si>
  <si>
    <t>OAS1_0101_MR1</t>
  </si>
  <si>
    <t>OAS1_0101_MR2</t>
  </si>
  <si>
    <t>OAS1_0111_MR1</t>
  </si>
  <si>
    <t>OAS1_0111_MR2</t>
  </si>
  <si>
    <t>OAS1_0117_MR1</t>
  </si>
  <si>
    <t>OAS1_0117_MR2</t>
  </si>
  <si>
    <t>OAS1_0145_MR1</t>
  </si>
  <si>
    <t>OAS1_0145_MR2</t>
  </si>
  <si>
    <t>OAS1_0150_MR1</t>
  </si>
  <si>
    <t>OAS1_0150_MR2</t>
  </si>
  <si>
    <t>OAS1_0156_MR1</t>
  </si>
  <si>
    <t>OAS1_0156_MR2</t>
  </si>
  <si>
    <t>OAS1_0191_MR1</t>
  </si>
  <si>
    <t>OAS1_0191_MR2</t>
  </si>
  <si>
    <t>OAS1_0202_MR1</t>
  </si>
  <si>
    <t>OAS1_0202_MR2</t>
  </si>
  <si>
    <t>OAS1_0230_MR1</t>
  </si>
  <si>
    <t>OAS1_0230_MR2</t>
  </si>
  <si>
    <t>OAS1_0236_MR1</t>
  </si>
  <si>
    <t>OAS1_0236_MR2</t>
  </si>
  <si>
    <t>OAS1_0239_MR1</t>
  </si>
  <si>
    <t>OAS1_0239_MR2</t>
  </si>
  <si>
    <t>OAS1_0249_MR1</t>
  </si>
  <si>
    <t>OAS1_0249_MR2</t>
  </si>
  <si>
    <t>OAS1_0285_MR1</t>
  </si>
  <si>
    <t>OAS1_0285_MR2</t>
  </si>
  <si>
    <t>OAS1_0353_MR1</t>
  </si>
  <si>
    <t>OAS1_0353_MR2</t>
  </si>
  <si>
    <t>OAS1_0368_MR1</t>
  </si>
  <si>
    <t>OAS1_0368_MR2</t>
  </si>
  <si>
    <t>OAS1_0379_MR1</t>
  </si>
  <si>
    <t>OAS1_0379_MR2</t>
  </si>
  <si>
    <t>OAS1_0395_MR1</t>
  </si>
  <si>
    <t>OAS1_0395_MR2</t>
  </si>
  <si>
    <t>OAS1_0080_MR1</t>
    <phoneticPr fontId="2" type="noConversion"/>
  </si>
  <si>
    <t>MAD</t>
    <phoneticPr fontId="2" type="noConversion"/>
  </si>
  <si>
    <t>sub-03_run-05</t>
    <phoneticPr fontId="2" type="noConversion"/>
  </si>
  <si>
    <t>Sex (1=Male, 2=Female)</t>
    <phoneticPr fontId="3" type="noConversion"/>
  </si>
  <si>
    <t>Scanner</t>
  </si>
  <si>
    <t>pair</t>
    <phoneticPr fontId="2" type="noConversion"/>
  </si>
  <si>
    <t>OAS1_0061</t>
  </si>
  <si>
    <t>OAS1_0080</t>
  </si>
  <si>
    <t>OAS1_0092</t>
  </si>
  <si>
    <t>OAS1_0101</t>
  </si>
  <si>
    <t>OAS1_0111</t>
  </si>
  <si>
    <t>OAS1_0117</t>
  </si>
  <si>
    <t>OAS1_0145</t>
  </si>
  <si>
    <t>OAS1_0150</t>
  </si>
  <si>
    <t>OAS1_0156</t>
  </si>
  <si>
    <t>OAS1_0191</t>
  </si>
  <si>
    <t>OAS1_0202</t>
  </si>
  <si>
    <t>OAS1_0230</t>
  </si>
  <si>
    <t>OAS1_0236</t>
  </si>
  <si>
    <t>OAS1_0239</t>
  </si>
  <si>
    <t>OAS1_0249</t>
  </si>
  <si>
    <t>OAS1_0285</t>
  </si>
  <si>
    <t>OAS1_0353</t>
  </si>
  <si>
    <t>OAS1_0368</t>
  </si>
  <si>
    <t>OAS1_0379</t>
  </si>
  <si>
    <t>OAS1_0395</t>
  </si>
  <si>
    <t>MAE</t>
    <phoneticPr fontId="2" type="noConversion"/>
  </si>
  <si>
    <t>Sex (1=Male, 2=Female)</t>
    <phoneticPr fontId="2" type="noConversion"/>
  </si>
  <si>
    <t>Scanner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</si>
</sst>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4" fillId="0" borderId="0" xfId="0" applyFont="1" applyAlignment="1">
      <alignment horizontal="right"/>
    </xf>
  </cellXfs>
  <cellStyles count="1">
    <cellStyle name="一般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topLeftCell="A96" workbookViewId="0">
      <selection activeCell="D122" sqref="D122"/>
    </sheetView>
  </sheetViews>
  <sheetFormatPr defaultRowHeight="15.75" x14ac:dyDescent="0.25"/>
  <cols>
    <col min="1" max="1" width="14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231</v>
      </c>
      <c r="E1" s="1" t="s">
        <v>206</v>
      </c>
      <c r="F1" s="1" t="s">
        <v>232</v>
      </c>
      <c r="G1" s="1" t="s">
        <v>233</v>
      </c>
      <c r="H1" s="1" t="s">
        <v>210</v>
      </c>
    </row>
    <row r="2" spans="1:8" ht="16.5" x14ac:dyDescent="0.25">
      <c r="A2" t="s">
        <v>3</v>
      </c>
      <c r="B2">
        <v>26</v>
      </c>
      <c r="C2">
        <v>23.956298828125</v>
      </c>
      <c r="D2">
        <f>ABS(C2-B2)</f>
        <v>2.043701171875</v>
      </c>
      <c r="E2">
        <f>IF(MOD(ROW(),2)=0,ABS(C2-C3),"")</f>
        <v>0.76663208007812145</v>
      </c>
      <c r="F2" s="3">
        <v>1</v>
      </c>
      <c r="G2" s="2">
        <v>3</v>
      </c>
      <c r="H2">
        <v>101</v>
      </c>
    </row>
    <row r="3" spans="1:8" x14ac:dyDescent="0.25">
      <c r="A3" t="s">
        <v>4</v>
      </c>
      <c r="B3">
        <v>26</v>
      </c>
      <c r="C3">
        <v>24.722930908203121</v>
      </c>
      <c r="D3">
        <f t="shared" ref="D3:D66" si="0">ABS(C3-B3)</f>
        <v>1.2770690917968786</v>
      </c>
      <c r="E3" t="str">
        <f t="shared" ref="E3:E66" si="1">IF(MOD(ROW(),2)=0,ABS(C3-C4),"")</f>
        <v/>
      </c>
      <c r="F3" s="2">
        <v>1</v>
      </c>
      <c r="G3" s="2">
        <v>3</v>
      </c>
      <c r="H3">
        <v>101</v>
      </c>
    </row>
    <row r="4" spans="1:8" x14ac:dyDescent="0.25">
      <c r="A4" t="s">
        <v>5</v>
      </c>
      <c r="B4">
        <v>26</v>
      </c>
      <c r="C4">
        <v>27.60713958740234</v>
      </c>
      <c r="D4">
        <f t="shared" si="0"/>
        <v>1.6071395874023402</v>
      </c>
      <c r="E4">
        <f t="shared" si="1"/>
        <v>2.6283702850341797</v>
      </c>
      <c r="F4" s="2">
        <v>1</v>
      </c>
      <c r="G4" s="2">
        <v>3</v>
      </c>
      <c r="H4">
        <v>102</v>
      </c>
    </row>
    <row r="5" spans="1:8" x14ac:dyDescent="0.25">
      <c r="A5" t="s">
        <v>6</v>
      </c>
      <c r="B5">
        <v>26</v>
      </c>
      <c r="C5">
        <v>24.978769302368161</v>
      </c>
      <c r="D5">
        <f t="shared" si="0"/>
        <v>1.0212306976318395</v>
      </c>
      <c r="E5" t="str">
        <f t="shared" si="1"/>
        <v/>
      </c>
      <c r="F5" s="2">
        <v>1</v>
      </c>
      <c r="G5" s="2">
        <v>3</v>
      </c>
      <c r="H5">
        <v>102</v>
      </c>
    </row>
    <row r="6" spans="1:8" x14ac:dyDescent="0.25">
      <c r="A6" t="s">
        <v>7</v>
      </c>
      <c r="B6">
        <v>26</v>
      </c>
      <c r="C6">
        <v>26.273979187011719</v>
      </c>
      <c r="D6">
        <f t="shared" si="0"/>
        <v>0.27397918701171875</v>
      </c>
      <c r="E6">
        <f t="shared" si="1"/>
        <v>5.6333541870117188E-2</v>
      </c>
      <c r="F6" s="2">
        <v>1</v>
      </c>
      <c r="G6" s="2">
        <v>3</v>
      </c>
      <c r="H6">
        <v>103</v>
      </c>
    </row>
    <row r="7" spans="1:8" x14ac:dyDescent="0.25">
      <c r="A7" t="s">
        <v>8</v>
      </c>
      <c r="B7">
        <v>26</v>
      </c>
      <c r="C7">
        <v>26.217645645141602</v>
      </c>
      <c r="D7">
        <f t="shared" si="0"/>
        <v>0.21764564514160156</v>
      </c>
      <c r="E7" t="str">
        <f t="shared" si="1"/>
        <v/>
      </c>
      <c r="F7" s="2">
        <v>1</v>
      </c>
      <c r="G7" s="2">
        <v>3</v>
      </c>
      <c r="H7">
        <v>103</v>
      </c>
    </row>
    <row r="8" spans="1:8" x14ac:dyDescent="0.25">
      <c r="A8" t="s">
        <v>9</v>
      </c>
      <c r="B8">
        <v>26</v>
      </c>
      <c r="C8">
        <v>24.03482818603516</v>
      </c>
      <c r="D8">
        <f t="shared" si="0"/>
        <v>1.9651718139648402</v>
      </c>
      <c r="E8">
        <f t="shared" si="1"/>
        <v>1.0521945953369105</v>
      </c>
      <c r="F8" s="2">
        <v>1</v>
      </c>
      <c r="G8" s="2">
        <v>3</v>
      </c>
      <c r="H8">
        <v>104</v>
      </c>
    </row>
    <row r="9" spans="1:8" x14ac:dyDescent="0.25">
      <c r="A9" t="s">
        <v>10</v>
      </c>
      <c r="B9">
        <v>26</v>
      </c>
      <c r="C9">
        <v>25.08702278137207</v>
      </c>
      <c r="D9">
        <f t="shared" si="0"/>
        <v>0.91297721862792969</v>
      </c>
      <c r="E9" t="str">
        <f t="shared" si="1"/>
        <v/>
      </c>
      <c r="F9" s="2">
        <v>1</v>
      </c>
      <c r="G9" s="2">
        <v>3</v>
      </c>
      <c r="H9">
        <v>104</v>
      </c>
    </row>
    <row r="10" spans="1:8" x14ac:dyDescent="0.25">
      <c r="A10" t="s">
        <v>11</v>
      </c>
      <c r="B10">
        <v>26</v>
      </c>
      <c r="C10">
        <v>24.66032600402832</v>
      </c>
      <c r="D10">
        <f t="shared" si="0"/>
        <v>1.3396739959716797</v>
      </c>
      <c r="E10">
        <f t="shared" si="1"/>
        <v>3.8175735473632813</v>
      </c>
      <c r="F10" s="2">
        <v>1</v>
      </c>
      <c r="G10" s="2">
        <v>3</v>
      </c>
      <c r="H10">
        <v>105</v>
      </c>
    </row>
    <row r="11" spans="1:8" x14ac:dyDescent="0.25">
      <c r="A11" t="s">
        <v>12</v>
      </c>
      <c r="B11">
        <v>26</v>
      </c>
      <c r="C11">
        <v>28.477899551391602</v>
      </c>
      <c r="D11">
        <f t="shared" si="0"/>
        <v>2.4778995513916016</v>
      </c>
      <c r="E11" t="str">
        <f t="shared" si="1"/>
        <v/>
      </c>
      <c r="F11" s="2">
        <v>1</v>
      </c>
      <c r="G11" s="2">
        <v>3</v>
      </c>
      <c r="H11">
        <v>105</v>
      </c>
    </row>
    <row r="12" spans="1:8" x14ac:dyDescent="0.25">
      <c r="A12" t="s">
        <v>13</v>
      </c>
      <c r="B12">
        <v>26</v>
      </c>
      <c r="C12">
        <v>25.950592041015621</v>
      </c>
      <c r="D12">
        <f t="shared" si="0"/>
        <v>4.9407958984378553E-2</v>
      </c>
      <c r="E12">
        <f t="shared" si="1"/>
        <v>3.1269607543945313</v>
      </c>
      <c r="F12" s="2">
        <v>1</v>
      </c>
      <c r="G12" s="2">
        <v>3</v>
      </c>
      <c r="H12">
        <v>106</v>
      </c>
    </row>
    <row r="13" spans="1:8" x14ac:dyDescent="0.25">
      <c r="A13" t="s">
        <v>14</v>
      </c>
      <c r="B13">
        <v>26</v>
      </c>
      <c r="C13">
        <v>22.82363128662109</v>
      </c>
      <c r="D13">
        <f t="shared" si="0"/>
        <v>3.1763687133789098</v>
      </c>
      <c r="E13" t="str">
        <f t="shared" si="1"/>
        <v/>
      </c>
      <c r="F13" s="2">
        <v>1</v>
      </c>
      <c r="G13" s="2">
        <v>3</v>
      </c>
      <c r="H13">
        <v>106</v>
      </c>
    </row>
    <row r="14" spans="1:8" x14ac:dyDescent="0.25">
      <c r="A14" t="s">
        <v>15</v>
      </c>
      <c r="B14">
        <v>26</v>
      </c>
      <c r="C14">
        <v>25.056657791137699</v>
      </c>
      <c r="D14">
        <f t="shared" si="0"/>
        <v>0.94334220886230113</v>
      </c>
      <c r="E14">
        <f t="shared" si="1"/>
        <v>0.97151565551757813</v>
      </c>
      <c r="F14" s="2">
        <v>1</v>
      </c>
      <c r="G14" s="2">
        <v>3</v>
      </c>
      <c r="H14">
        <v>107</v>
      </c>
    </row>
    <row r="15" spans="1:8" x14ac:dyDescent="0.25">
      <c r="A15" t="s">
        <v>16</v>
      </c>
      <c r="B15">
        <v>26</v>
      </c>
      <c r="C15">
        <v>24.085142135620121</v>
      </c>
      <c r="D15">
        <f t="shared" si="0"/>
        <v>1.9148578643798793</v>
      </c>
      <c r="E15" t="str">
        <f t="shared" si="1"/>
        <v/>
      </c>
      <c r="F15" s="2">
        <v>1</v>
      </c>
      <c r="G15" s="2">
        <v>3</v>
      </c>
      <c r="H15">
        <v>107</v>
      </c>
    </row>
    <row r="16" spans="1:8" x14ac:dyDescent="0.25">
      <c r="A16" t="s">
        <v>17</v>
      </c>
      <c r="B16">
        <v>26</v>
      </c>
      <c r="C16">
        <v>24.125614166259769</v>
      </c>
      <c r="D16">
        <f t="shared" si="0"/>
        <v>1.8743858337402308</v>
      </c>
      <c r="E16">
        <f t="shared" si="1"/>
        <v>1.80059814453125</v>
      </c>
      <c r="F16" s="2">
        <v>1</v>
      </c>
      <c r="G16" s="2">
        <v>3</v>
      </c>
      <c r="H16">
        <v>108</v>
      </c>
    </row>
    <row r="17" spans="1:8" x14ac:dyDescent="0.25">
      <c r="A17" t="s">
        <v>18</v>
      </c>
      <c r="B17">
        <v>26</v>
      </c>
      <c r="C17">
        <v>22.325016021728519</v>
      </c>
      <c r="D17">
        <f t="shared" si="0"/>
        <v>3.6749839782714808</v>
      </c>
      <c r="E17" t="str">
        <f t="shared" si="1"/>
        <v/>
      </c>
      <c r="F17" s="2">
        <v>1</v>
      </c>
      <c r="G17" s="2">
        <v>3</v>
      </c>
      <c r="H17">
        <v>108</v>
      </c>
    </row>
    <row r="18" spans="1:8" x14ac:dyDescent="0.25">
      <c r="A18" t="s">
        <v>19</v>
      </c>
      <c r="B18">
        <v>26</v>
      </c>
      <c r="C18">
        <v>21.374736785888668</v>
      </c>
      <c r="D18">
        <f t="shared" si="0"/>
        <v>4.6252632141113317</v>
      </c>
      <c r="E18">
        <f t="shared" si="1"/>
        <v>2.6498546600341832</v>
      </c>
      <c r="F18" s="2">
        <v>1</v>
      </c>
      <c r="G18" s="2">
        <v>3</v>
      </c>
      <c r="H18">
        <v>109</v>
      </c>
    </row>
    <row r="19" spans="1:8" x14ac:dyDescent="0.25">
      <c r="A19" t="s">
        <v>20</v>
      </c>
      <c r="B19">
        <v>26</v>
      </c>
      <c r="C19">
        <v>24.024591445922852</v>
      </c>
      <c r="D19">
        <f t="shared" si="0"/>
        <v>1.9754085540771484</v>
      </c>
      <c r="E19" t="str">
        <f t="shared" si="1"/>
        <v/>
      </c>
      <c r="F19" s="2">
        <v>1</v>
      </c>
      <c r="G19" s="2">
        <v>3</v>
      </c>
      <c r="H19">
        <v>109</v>
      </c>
    </row>
    <row r="20" spans="1:8" x14ac:dyDescent="0.25">
      <c r="A20" t="s">
        <v>21</v>
      </c>
      <c r="B20">
        <v>26</v>
      </c>
      <c r="C20">
        <v>25.06498908996582</v>
      </c>
      <c r="D20">
        <f t="shared" si="0"/>
        <v>0.93501091003417969</v>
      </c>
      <c r="E20">
        <f t="shared" si="1"/>
        <v>1.9279613494873011</v>
      </c>
      <c r="F20" s="2">
        <v>1</v>
      </c>
      <c r="G20" s="2">
        <v>3</v>
      </c>
      <c r="H20">
        <v>110</v>
      </c>
    </row>
    <row r="21" spans="1:8" x14ac:dyDescent="0.25">
      <c r="A21" t="s">
        <v>22</v>
      </c>
      <c r="B21">
        <v>26</v>
      </c>
      <c r="C21">
        <v>23.137027740478519</v>
      </c>
      <c r="D21">
        <f t="shared" si="0"/>
        <v>2.8629722595214808</v>
      </c>
      <c r="E21" t="str">
        <f t="shared" si="1"/>
        <v/>
      </c>
      <c r="F21" s="2">
        <v>1</v>
      </c>
      <c r="G21" s="2">
        <v>3</v>
      </c>
      <c r="H21">
        <v>110</v>
      </c>
    </row>
    <row r="22" spans="1:8" x14ac:dyDescent="0.25">
      <c r="A22" t="s">
        <v>23</v>
      </c>
      <c r="B22">
        <v>26</v>
      </c>
      <c r="C22">
        <v>23.092971801757809</v>
      </c>
      <c r="D22">
        <f t="shared" si="0"/>
        <v>2.9070281982421911</v>
      </c>
      <c r="E22">
        <f t="shared" si="1"/>
        <v>0.74687194824219105</v>
      </c>
      <c r="F22" s="2">
        <v>1</v>
      </c>
      <c r="G22" s="2">
        <v>3</v>
      </c>
      <c r="H22">
        <v>111</v>
      </c>
    </row>
    <row r="23" spans="1:8" x14ac:dyDescent="0.25">
      <c r="A23" t="s">
        <v>24</v>
      </c>
      <c r="B23">
        <v>26</v>
      </c>
      <c r="C23">
        <v>23.83984375</v>
      </c>
      <c r="D23">
        <f t="shared" si="0"/>
        <v>2.16015625</v>
      </c>
      <c r="E23" t="str">
        <f t="shared" si="1"/>
        <v/>
      </c>
      <c r="F23" s="2">
        <v>1</v>
      </c>
      <c r="G23" s="2">
        <v>3</v>
      </c>
      <c r="H23">
        <v>111</v>
      </c>
    </row>
    <row r="24" spans="1:8" x14ac:dyDescent="0.25">
      <c r="A24" t="s">
        <v>25</v>
      </c>
      <c r="B24">
        <v>26</v>
      </c>
      <c r="C24">
        <v>25.65421104431152</v>
      </c>
      <c r="D24">
        <f t="shared" si="0"/>
        <v>0.34578895568848012</v>
      </c>
      <c r="E24">
        <f t="shared" si="1"/>
        <v>0.42106819152832031</v>
      </c>
      <c r="F24" s="2">
        <v>1</v>
      </c>
      <c r="G24" s="2">
        <v>3</v>
      </c>
      <c r="H24">
        <v>112</v>
      </c>
    </row>
    <row r="25" spans="1:8" x14ac:dyDescent="0.25">
      <c r="A25" t="s">
        <v>26</v>
      </c>
      <c r="B25">
        <v>26</v>
      </c>
      <c r="C25">
        <v>25.2331428527832</v>
      </c>
      <c r="D25">
        <f t="shared" si="0"/>
        <v>0.76685714721680043</v>
      </c>
      <c r="E25" t="str">
        <f t="shared" si="1"/>
        <v/>
      </c>
      <c r="F25" s="2">
        <v>1</v>
      </c>
      <c r="G25" s="2">
        <v>3</v>
      </c>
      <c r="H25">
        <v>112</v>
      </c>
    </row>
    <row r="26" spans="1:8" x14ac:dyDescent="0.25">
      <c r="A26" t="s">
        <v>27</v>
      </c>
      <c r="B26">
        <v>26</v>
      </c>
      <c r="C26">
        <v>22.494195938110352</v>
      </c>
      <c r="D26">
        <f t="shared" si="0"/>
        <v>3.5058040618896484</v>
      </c>
      <c r="E26">
        <f t="shared" si="1"/>
        <v>0.70680809020995738</v>
      </c>
      <c r="F26" s="2">
        <v>1</v>
      </c>
      <c r="G26" s="2">
        <v>3</v>
      </c>
      <c r="H26">
        <v>113</v>
      </c>
    </row>
    <row r="27" spans="1:8" x14ac:dyDescent="0.25">
      <c r="A27" t="s">
        <v>28</v>
      </c>
      <c r="B27">
        <v>26</v>
      </c>
      <c r="C27">
        <v>23.201004028320309</v>
      </c>
      <c r="D27">
        <f t="shared" si="0"/>
        <v>2.7989959716796911</v>
      </c>
      <c r="E27" t="str">
        <f t="shared" si="1"/>
        <v/>
      </c>
      <c r="F27" s="2">
        <v>1</v>
      </c>
      <c r="G27" s="2">
        <v>3</v>
      </c>
      <c r="H27">
        <v>113</v>
      </c>
    </row>
    <row r="28" spans="1:8" x14ac:dyDescent="0.25">
      <c r="A28" t="s">
        <v>29</v>
      </c>
      <c r="B28">
        <v>26</v>
      </c>
      <c r="C28">
        <v>25.834995269775391</v>
      </c>
      <c r="D28">
        <f t="shared" si="0"/>
        <v>0.16500473022460938</v>
      </c>
      <c r="E28">
        <f t="shared" si="1"/>
        <v>1.2003612518310511</v>
      </c>
      <c r="F28" s="2">
        <v>1</v>
      </c>
      <c r="G28" s="2">
        <v>3</v>
      </c>
      <c r="H28">
        <v>114</v>
      </c>
    </row>
    <row r="29" spans="1:8" x14ac:dyDescent="0.25">
      <c r="A29" t="s">
        <v>30</v>
      </c>
      <c r="B29">
        <v>26</v>
      </c>
      <c r="C29">
        <v>24.634634017944339</v>
      </c>
      <c r="D29">
        <f t="shared" si="0"/>
        <v>1.3653659820556605</v>
      </c>
      <c r="E29" t="str">
        <f t="shared" si="1"/>
        <v/>
      </c>
      <c r="F29" s="2">
        <v>1</v>
      </c>
      <c r="G29" s="2">
        <v>3</v>
      </c>
      <c r="H29">
        <v>114</v>
      </c>
    </row>
    <row r="30" spans="1:8" x14ac:dyDescent="0.25">
      <c r="A30" t="s">
        <v>31</v>
      </c>
      <c r="B30">
        <v>26</v>
      </c>
      <c r="C30">
        <v>27.748516082763668</v>
      </c>
      <c r="D30">
        <f t="shared" si="0"/>
        <v>1.7485160827636683</v>
      </c>
      <c r="E30">
        <f t="shared" si="1"/>
        <v>1.5316429138183594</v>
      </c>
      <c r="F30" s="2">
        <v>1</v>
      </c>
      <c r="G30" s="2">
        <v>3</v>
      </c>
      <c r="H30">
        <v>115</v>
      </c>
    </row>
    <row r="31" spans="1:8" x14ac:dyDescent="0.25">
      <c r="A31" t="s">
        <v>32</v>
      </c>
      <c r="B31">
        <v>26</v>
      </c>
      <c r="C31">
        <v>26.216873168945309</v>
      </c>
      <c r="D31">
        <f t="shared" si="0"/>
        <v>0.21687316894530895</v>
      </c>
      <c r="E31" t="str">
        <f t="shared" si="1"/>
        <v/>
      </c>
      <c r="F31" s="2">
        <v>1</v>
      </c>
      <c r="G31" s="2">
        <v>3</v>
      </c>
      <c r="H31">
        <v>115</v>
      </c>
    </row>
    <row r="32" spans="1:8" x14ac:dyDescent="0.25">
      <c r="A32" t="s">
        <v>33</v>
      </c>
      <c r="B32">
        <v>26</v>
      </c>
      <c r="C32">
        <v>24.692642211914059</v>
      </c>
      <c r="D32">
        <f t="shared" si="0"/>
        <v>1.3073577880859411</v>
      </c>
      <c r="E32">
        <f t="shared" si="1"/>
        <v>1.4425239562988317</v>
      </c>
      <c r="F32" s="2">
        <v>1</v>
      </c>
      <c r="G32" s="2">
        <v>3</v>
      </c>
      <c r="H32">
        <v>116</v>
      </c>
    </row>
    <row r="33" spans="1:8" x14ac:dyDescent="0.25">
      <c r="A33" t="s">
        <v>34</v>
      </c>
      <c r="B33">
        <v>26</v>
      </c>
      <c r="C33">
        <v>26.135166168212891</v>
      </c>
      <c r="D33">
        <f t="shared" si="0"/>
        <v>0.13516616821289063</v>
      </c>
      <c r="E33" t="str">
        <f t="shared" si="1"/>
        <v/>
      </c>
      <c r="F33" s="2">
        <v>1</v>
      </c>
      <c r="G33" s="2">
        <v>3</v>
      </c>
      <c r="H33">
        <v>116</v>
      </c>
    </row>
    <row r="34" spans="1:8" x14ac:dyDescent="0.25">
      <c r="A34" t="s">
        <v>35</v>
      </c>
      <c r="B34">
        <v>26</v>
      </c>
      <c r="C34">
        <v>27.938407897949219</v>
      </c>
      <c r="D34">
        <f t="shared" si="0"/>
        <v>1.9384078979492188</v>
      </c>
      <c r="E34">
        <f t="shared" si="1"/>
        <v>2.0445747375488281</v>
      </c>
      <c r="F34" s="2">
        <v>1</v>
      </c>
      <c r="G34" s="2">
        <v>3</v>
      </c>
      <c r="H34">
        <v>117</v>
      </c>
    </row>
    <row r="35" spans="1:8" x14ac:dyDescent="0.25">
      <c r="A35" t="s">
        <v>36</v>
      </c>
      <c r="B35">
        <v>26</v>
      </c>
      <c r="C35">
        <v>25.893833160400391</v>
      </c>
      <c r="D35">
        <f t="shared" si="0"/>
        <v>0.10616683959960938</v>
      </c>
      <c r="E35" t="str">
        <f t="shared" si="1"/>
        <v/>
      </c>
      <c r="F35" s="2">
        <v>1</v>
      </c>
      <c r="G35" s="2">
        <v>3</v>
      </c>
      <c r="H35">
        <v>117</v>
      </c>
    </row>
    <row r="36" spans="1:8" x14ac:dyDescent="0.25">
      <c r="A36" t="s">
        <v>37</v>
      </c>
      <c r="B36">
        <v>26</v>
      </c>
      <c r="C36">
        <v>24.216915130615231</v>
      </c>
      <c r="D36">
        <f t="shared" si="0"/>
        <v>1.7830848693847692</v>
      </c>
      <c r="E36">
        <f t="shared" si="1"/>
        <v>3.0254211425781286</v>
      </c>
      <c r="F36" s="2">
        <v>1</v>
      </c>
      <c r="G36" s="2">
        <v>3</v>
      </c>
      <c r="H36">
        <v>118</v>
      </c>
    </row>
    <row r="37" spans="1:8" x14ac:dyDescent="0.25">
      <c r="A37" t="s">
        <v>38</v>
      </c>
      <c r="B37">
        <v>26</v>
      </c>
      <c r="C37">
        <v>27.242336273193359</v>
      </c>
      <c r="D37">
        <f t="shared" si="0"/>
        <v>1.2423362731933594</v>
      </c>
      <c r="E37" t="str">
        <f t="shared" si="1"/>
        <v/>
      </c>
      <c r="F37" s="2">
        <v>1</v>
      </c>
      <c r="G37" s="2">
        <v>3</v>
      </c>
      <c r="H37">
        <v>118</v>
      </c>
    </row>
    <row r="38" spans="1:8" x14ac:dyDescent="0.25">
      <c r="A38" t="s">
        <v>39</v>
      </c>
      <c r="B38">
        <v>26</v>
      </c>
      <c r="C38">
        <v>27.458124160766602</v>
      </c>
      <c r="D38">
        <f t="shared" si="0"/>
        <v>1.4581241607666016</v>
      </c>
      <c r="E38">
        <f t="shared" si="1"/>
        <v>0.51078796386719105</v>
      </c>
      <c r="F38" s="2">
        <v>1</v>
      </c>
      <c r="G38" s="2">
        <v>3</v>
      </c>
      <c r="H38">
        <v>119</v>
      </c>
    </row>
    <row r="39" spans="1:8" x14ac:dyDescent="0.25">
      <c r="A39" t="s">
        <v>40</v>
      </c>
      <c r="B39">
        <v>26</v>
      </c>
      <c r="C39">
        <v>26.947336196899411</v>
      </c>
      <c r="D39">
        <f t="shared" si="0"/>
        <v>0.94733619689941051</v>
      </c>
      <c r="E39" t="str">
        <f t="shared" si="1"/>
        <v/>
      </c>
      <c r="F39" s="2">
        <v>1</v>
      </c>
      <c r="G39" s="2">
        <v>3</v>
      </c>
      <c r="H39">
        <v>119</v>
      </c>
    </row>
    <row r="40" spans="1:8" x14ac:dyDescent="0.25">
      <c r="A40" t="s">
        <v>41</v>
      </c>
      <c r="B40">
        <v>26</v>
      </c>
      <c r="C40">
        <v>26.20253944396973</v>
      </c>
      <c r="D40">
        <f t="shared" si="0"/>
        <v>0.20253944396973012</v>
      </c>
      <c r="E40">
        <f t="shared" si="1"/>
        <v>1.6778907775878906</v>
      </c>
      <c r="F40" s="2">
        <v>1</v>
      </c>
      <c r="G40" s="2">
        <v>3</v>
      </c>
      <c r="H40">
        <v>120</v>
      </c>
    </row>
    <row r="41" spans="1:8" x14ac:dyDescent="0.25">
      <c r="A41" t="s">
        <v>42</v>
      </c>
      <c r="B41">
        <v>26</v>
      </c>
      <c r="C41">
        <v>24.524648666381839</v>
      </c>
      <c r="D41">
        <f t="shared" si="0"/>
        <v>1.4753513336181605</v>
      </c>
      <c r="E41" t="str">
        <f t="shared" si="1"/>
        <v/>
      </c>
      <c r="F41" s="2">
        <v>1</v>
      </c>
      <c r="G41" s="2">
        <v>3</v>
      </c>
      <c r="H41">
        <v>120</v>
      </c>
    </row>
    <row r="42" spans="1:8" x14ac:dyDescent="0.25">
      <c r="A42" t="s">
        <v>43</v>
      </c>
      <c r="B42">
        <v>31</v>
      </c>
      <c r="C42">
        <v>28.015932083129879</v>
      </c>
      <c r="D42">
        <f t="shared" si="0"/>
        <v>2.9840679168701207</v>
      </c>
      <c r="E42">
        <f t="shared" si="1"/>
        <v>2.3067131042480398</v>
      </c>
      <c r="F42" s="2">
        <v>1</v>
      </c>
      <c r="G42" s="2">
        <v>3</v>
      </c>
      <c r="H42">
        <v>201</v>
      </c>
    </row>
    <row r="43" spans="1:8" x14ac:dyDescent="0.25">
      <c r="A43" t="s">
        <v>44</v>
      </c>
      <c r="B43">
        <v>31</v>
      </c>
      <c r="C43">
        <v>25.709218978881839</v>
      </c>
      <c r="D43">
        <f t="shared" si="0"/>
        <v>5.2907810211181605</v>
      </c>
      <c r="E43" t="str">
        <f t="shared" si="1"/>
        <v/>
      </c>
      <c r="F43" s="2">
        <v>1</v>
      </c>
      <c r="G43" s="2">
        <v>3</v>
      </c>
      <c r="H43">
        <v>201</v>
      </c>
    </row>
    <row r="44" spans="1:8" x14ac:dyDescent="0.25">
      <c r="A44" t="s">
        <v>45</v>
      </c>
      <c r="B44">
        <v>31</v>
      </c>
      <c r="C44">
        <v>27.206930160522461</v>
      </c>
      <c r="D44">
        <f t="shared" si="0"/>
        <v>3.7930698394775391</v>
      </c>
      <c r="E44">
        <f t="shared" si="1"/>
        <v>0.43091773986816051</v>
      </c>
      <c r="F44" s="2">
        <v>1</v>
      </c>
      <c r="G44" s="2">
        <v>3</v>
      </c>
      <c r="H44">
        <v>202</v>
      </c>
    </row>
    <row r="45" spans="1:8" x14ac:dyDescent="0.25">
      <c r="A45" t="s">
        <v>46</v>
      </c>
      <c r="B45">
        <v>31</v>
      </c>
      <c r="C45">
        <v>27.637847900390621</v>
      </c>
      <c r="D45">
        <f t="shared" si="0"/>
        <v>3.3621520996093786</v>
      </c>
      <c r="E45" t="str">
        <f t="shared" si="1"/>
        <v/>
      </c>
      <c r="F45" s="2">
        <v>1</v>
      </c>
      <c r="G45" s="2">
        <v>3</v>
      </c>
      <c r="H45">
        <v>202</v>
      </c>
    </row>
    <row r="46" spans="1:8" x14ac:dyDescent="0.25">
      <c r="A46" t="s">
        <v>47</v>
      </c>
      <c r="B46">
        <v>31</v>
      </c>
      <c r="C46">
        <v>28.2380256652832</v>
      </c>
      <c r="D46">
        <f t="shared" si="0"/>
        <v>2.7619743347168004</v>
      </c>
      <c r="E46">
        <f t="shared" si="1"/>
        <v>1.5023117065429688</v>
      </c>
      <c r="F46" s="2">
        <v>1</v>
      </c>
      <c r="G46" s="2">
        <v>3</v>
      </c>
      <c r="H46">
        <v>203</v>
      </c>
    </row>
    <row r="47" spans="1:8" x14ac:dyDescent="0.25">
      <c r="A47" t="s">
        <v>48</v>
      </c>
      <c r="B47">
        <v>31</v>
      </c>
      <c r="C47">
        <v>26.735713958740231</v>
      </c>
      <c r="D47">
        <f t="shared" si="0"/>
        <v>4.2642860412597692</v>
      </c>
      <c r="E47" t="str">
        <f t="shared" si="1"/>
        <v/>
      </c>
      <c r="F47" s="2">
        <v>1</v>
      </c>
      <c r="G47" s="2">
        <v>3</v>
      </c>
      <c r="H47">
        <v>203</v>
      </c>
    </row>
    <row r="48" spans="1:8" x14ac:dyDescent="0.25">
      <c r="A48" t="s">
        <v>49</v>
      </c>
      <c r="B48">
        <v>31</v>
      </c>
      <c r="C48">
        <v>27.757326126098629</v>
      </c>
      <c r="D48">
        <f t="shared" si="0"/>
        <v>3.2426738739013707</v>
      </c>
      <c r="E48">
        <f t="shared" si="1"/>
        <v>9.1644287109382105E-2</v>
      </c>
      <c r="F48" s="2">
        <v>1</v>
      </c>
      <c r="G48" s="2">
        <v>3</v>
      </c>
      <c r="H48">
        <v>204</v>
      </c>
    </row>
    <row r="49" spans="1:8" x14ac:dyDescent="0.25">
      <c r="A49" t="s">
        <v>50</v>
      </c>
      <c r="B49">
        <v>31</v>
      </c>
      <c r="C49">
        <v>27.848970413208011</v>
      </c>
      <c r="D49">
        <f t="shared" si="0"/>
        <v>3.1510295867919886</v>
      </c>
      <c r="E49" t="str">
        <f t="shared" si="1"/>
        <v/>
      </c>
      <c r="F49" s="2">
        <v>1</v>
      </c>
      <c r="G49" s="2">
        <v>3</v>
      </c>
      <c r="H49">
        <v>204</v>
      </c>
    </row>
    <row r="50" spans="1:8" x14ac:dyDescent="0.25">
      <c r="A50" t="s">
        <v>51</v>
      </c>
      <c r="B50">
        <v>31</v>
      </c>
      <c r="C50">
        <v>26.651958465576168</v>
      </c>
      <c r="D50">
        <f t="shared" si="0"/>
        <v>4.3480415344238317</v>
      </c>
      <c r="E50">
        <f t="shared" si="1"/>
        <v>0.19078254699707031</v>
      </c>
      <c r="F50" s="2">
        <v>1</v>
      </c>
      <c r="G50" s="2">
        <v>3</v>
      </c>
      <c r="H50">
        <v>205</v>
      </c>
    </row>
    <row r="51" spans="1:8" x14ac:dyDescent="0.25">
      <c r="A51" t="s">
        <v>52</v>
      </c>
      <c r="B51">
        <v>31</v>
      </c>
      <c r="C51">
        <v>26.842741012573239</v>
      </c>
      <c r="D51">
        <f t="shared" si="0"/>
        <v>4.1572589874267614</v>
      </c>
      <c r="E51" t="str">
        <f t="shared" si="1"/>
        <v/>
      </c>
      <c r="F51" s="2">
        <v>1</v>
      </c>
      <c r="G51" s="2">
        <v>3</v>
      </c>
      <c r="H51">
        <v>205</v>
      </c>
    </row>
    <row r="52" spans="1:8" x14ac:dyDescent="0.25">
      <c r="A52" t="s">
        <v>53</v>
      </c>
      <c r="B52">
        <v>31</v>
      </c>
      <c r="C52">
        <v>26.276287078857418</v>
      </c>
      <c r="D52">
        <f t="shared" si="0"/>
        <v>4.7237129211425817</v>
      </c>
      <c r="E52">
        <f t="shared" si="1"/>
        <v>0.29906272888182883</v>
      </c>
      <c r="F52" s="2">
        <v>1</v>
      </c>
      <c r="G52" s="2">
        <v>3</v>
      </c>
      <c r="H52">
        <v>206</v>
      </c>
    </row>
    <row r="53" spans="1:8" x14ac:dyDescent="0.25">
      <c r="A53" t="s">
        <v>54</v>
      </c>
      <c r="B53">
        <v>31</v>
      </c>
      <c r="C53">
        <v>25.977224349975589</v>
      </c>
      <c r="D53">
        <f t="shared" si="0"/>
        <v>5.0227756500244105</v>
      </c>
      <c r="E53" t="str">
        <f t="shared" si="1"/>
        <v/>
      </c>
      <c r="F53" s="2">
        <v>1</v>
      </c>
      <c r="G53" s="2">
        <v>3</v>
      </c>
      <c r="H53">
        <v>206</v>
      </c>
    </row>
    <row r="54" spans="1:8" x14ac:dyDescent="0.25">
      <c r="A54" t="s">
        <v>55</v>
      </c>
      <c r="B54">
        <v>31</v>
      </c>
      <c r="C54">
        <v>26.788486480712891</v>
      </c>
      <c r="D54">
        <f t="shared" si="0"/>
        <v>4.2115135192871094</v>
      </c>
      <c r="E54">
        <f t="shared" si="1"/>
        <v>0.63839340209960938</v>
      </c>
      <c r="F54" s="2">
        <v>1</v>
      </c>
      <c r="G54" s="2">
        <v>3</v>
      </c>
      <c r="H54">
        <v>207</v>
      </c>
    </row>
    <row r="55" spans="1:8" x14ac:dyDescent="0.25">
      <c r="A55" t="s">
        <v>56</v>
      </c>
      <c r="B55">
        <v>31</v>
      </c>
      <c r="C55">
        <v>27.4268798828125</v>
      </c>
      <c r="D55">
        <f t="shared" si="0"/>
        <v>3.5731201171875</v>
      </c>
      <c r="E55" t="str">
        <f t="shared" si="1"/>
        <v/>
      </c>
      <c r="F55" s="2">
        <v>1</v>
      </c>
      <c r="G55" s="2">
        <v>3</v>
      </c>
      <c r="H55">
        <v>207</v>
      </c>
    </row>
    <row r="56" spans="1:8" x14ac:dyDescent="0.25">
      <c r="A56" t="s">
        <v>57</v>
      </c>
      <c r="B56">
        <v>31</v>
      </c>
      <c r="C56">
        <v>27.491058349609379</v>
      </c>
      <c r="D56">
        <f t="shared" si="0"/>
        <v>3.5089416503906214</v>
      </c>
      <c r="E56">
        <f t="shared" si="1"/>
        <v>0.58802413940428977</v>
      </c>
      <c r="F56" s="2">
        <v>1</v>
      </c>
      <c r="G56" s="2">
        <v>3</v>
      </c>
      <c r="H56">
        <v>208</v>
      </c>
    </row>
    <row r="57" spans="1:8" x14ac:dyDescent="0.25">
      <c r="A57" t="s">
        <v>58</v>
      </c>
      <c r="B57">
        <v>31</v>
      </c>
      <c r="C57">
        <v>28.079082489013668</v>
      </c>
      <c r="D57">
        <f t="shared" si="0"/>
        <v>2.9209175109863317</v>
      </c>
      <c r="E57" t="str">
        <f t="shared" si="1"/>
        <v/>
      </c>
      <c r="F57" s="2">
        <v>1</v>
      </c>
      <c r="G57" s="2">
        <v>3</v>
      </c>
      <c r="H57">
        <v>208</v>
      </c>
    </row>
    <row r="58" spans="1:8" x14ac:dyDescent="0.25">
      <c r="A58" t="s">
        <v>59</v>
      </c>
      <c r="B58">
        <v>31</v>
      </c>
      <c r="C58">
        <v>26.222585678100589</v>
      </c>
      <c r="D58">
        <f t="shared" si="0"/>
        <v>4.7774143218994105</v>
      </c>
      <c r="E58">
        <f t="shared" si="1"/>
        <v>0.52466392517089844</v>
      </c>
      <c r="F58" s="2">
        <v>1</v>
      </c>
      <c r="G58" s="2">
        <v>3</v>
      </c>
      <c r="H58">
        <v>209</v>
      </c>
    </row>
    <row r="59" spans="1:8" x14ac:dyDescent="0.25">
      <c r="A59" t="s">
        <v>60</v>
      </c>
      <c r="B59">
        <v>31</v>
      </c>
      <c r="C59">
        <v>25.697921752929691</v>
      </c>
      <c r="D59">
        <f t="shared" si="0"/>
        <v>5.3020782470703089</v>
      </c>
      <c r="E59" t="str">
        <f t="shared" si="1"/>
        <v/>
      </c>
      <c r="F59" s="2">
        <v>1</v>
      </c>
      <c r="G59" s="2">
        <v>3</v>
      </c>
      <c r="H59">
        <v>209</v>
      </c>
    </row>
    <row r="60" spans="1:8" x14ac:dyDescent="0.25">
      <c r="A60" t="s">
        <v>61</v>
      </c>
      <c r="B60">
        <v>31</v>
      </c>
      <c r="C60">
        <v>26.774555206298832</v>
      </c>
      <c r="D60">
        <f t="shared" si="0"/>
        <v>4.2254447937011683</v>
      </c>
      <c r="E60">
        <f t="shared" si="1"/>
        <v>0.17622756958008168</v>
      </c>
      <c r="F60" s="2">
        <v>1</v>
      </c>
      <c r="G60" s="2">
        <v>3</v>
      </c>
      <c r="H60">
        <v>210</v>
      </c>
    </row>
    <row r="61" spans="1:8" x14ac:dyDescent="0.25">
      <c r="A61" t="s">
        <v>62</v>
      </c>
      <c r="B61">
        <v>31</v>
      </c>
      <c r="C61">
        <v>26.59832763671875</v>
      </c>
      <c r="D61">
        <f t="shared" si="0"/>
        <v>4.40167236328125</v>
      </c>
      <c r="E61" t="str">
        <f t="shared" si="1"/>
        <v/>
      </c>
      <c r="F61" s="2">
        <v>1</v>
      </c>
      <c r="G61" s="2">
        <v>3</v>
      </c>
      <c r="H61">
        <v>210</v>
      </c>
    </row>
    <row r="62" spans="1:8" x14ac:dyDescent="0.25">
      <c r="A62" t="s">
        <v>63</v>
      </c>
      <c r="B62">
        <v>31</v>
      </c>
      <c r="C62">
        <v>27.322601318359379</v>
      </c>
      <c r="D62">
        <f t="shared" si="0"/>
        <v>3.6773986816406214</v>
      </c>
      <c r="E62">
        <f t="shared" si="1"/>
        <v>1.7183990478515696</v>
      </c>
      <c r="F62" s="2">
        <v>1</v>
      </c>
      <c r="G62" s="2">
        <v>3</v>
      </c>
      <c r="H62">
        <v>211</v>
      </c>
    </row>
    <row r="63" spans="1:8" x14ac:dyDescent="0.25">
      <c r="A63" t="s">
        <v>64</v>
      </c>
      <c r="B63">
        <v>31</v>
      </c>
      <c r="C63">
        <v>25.604202270507809</v>
      </c>
      <c r="D63">
        <f t="shared" si="0"/>
        <v>5.3957977294921911</v>
      </c>
      <c r="E63" t="str">
        <f t="shared" si="1"/>
        <v/>
      </c>
      <c r="F63" s="2">
        <v>1</v>
      </c>
      <c r="G63" s="2">
        <v>3</v>
      </c>
      <c r="H63">
        <v>211</v>
      </c>
    </row>
    <row r="64" spans="1:8" x14ac:dyDescent="0.25">
      <c r="A64" t="s">
        <v>65</v>
      </c>
      <c r="B64">
        <v>31</v>
      </c>
      <c r="C64">
        <v>26.247177124023441</v>
      </c>
      <c r="D64">
        <f t="shared" si="0"/>
        <v>4.7528228759765589</v>
      </c>
      <c r="E64">
        <f t="shared" si="1"/>
        <v>0.40213012695311789</v>
      </c>
      <c r="F64" s="2">
        <v>1</v>
      </c>
      <c r="G64" s="2">
        <v>3</v>
      </c>
      <c r="H64">
        <v>212</v>
      </c>
    </row>
    <row r="65" spans="1:8" x14ac:dyDescent="0.25">
      <c r="A65" t="s">
        <v>66</v>
      </c>
      <c r="B65">
        <v>31</v>
      </c>
      <c r="C65">
        <v>26.649307250976559</v>
      </c>
      <c r="D65">
        <f t="shared" si="0"/>
        <v>4.3506927490234411</v>
      </c>
      <c r="E65" t="str">
        <f t="shared" si="1"/>
        <v/>
      </c>
      <c r="F65" s="2">
        <v>1</v>
      </c>
      <c r="G65" s="2">
        <v>3</v>
      </c>
      <c r="H65">
        <v>212</v>
      </c>
    </row>
    <row r="66" spans="1:8" x14ac:dyDescent="0.25">
      <c r="A66" t="s">
        <v>67</v>
      </c>
      <c r="B66">
        <v>31</v>
      </c>
      <c r="C66">
        <v>26.680545806884769</v>
      </c>
      <c r="D66">
        <f t="shared" si="0"/>
        <v>4.3194541931152308</v>
      </c>
      <c r="E66">
        <f t="shared" si="1"/>
        <v>9.0065002441399145E-2</v>
      </c>
      <c r="F66" s="2">
        <v>1</v>
      </c>
      <c r="G66" s="2">
        <v>3</v>
      </c>
      <c r="H66">
        <v>213</v>
      </c>
    </row>
    <row r="67" spans="1:8" x14ac:dyDescent="0.25">
      <c r="A67" t="s">
        <v>68</v>
      </c>
      <c r="B67">
        <v>31</v>
      </c>
      <c r="C67">
        <v>26.770610809326168</v>
      </c>
      <c r="D67">
        <f t="shared" ref="D67:D121" si="2">ABS(C67-B67)</f>
        <v>4.2293891906738317</v>
      </c>
      <c r="E67" t="str">
        <f t="shared" ref="E67:E121" si="3">IF(MOD(ROW(),2)=0,ABS(C67-C68),"")</f>
        <v/>
      </c>
      <c r="F67" s="2">
        <v>1</v>
      </c>
      <c r="G67" s="2">
        <v>3</v>
      </c>
      <c r="H67">
        <v>213</v>
      </c>
    </row>
    <row r="68" spans="1:8" x14ac:dyDescent="0.25">
      <c r="A68" t="s">
        <v>69</v>
      </c>
      <c r="B68">
        <v>31</v>
      </c>
      <c r="C68">
        <v>25.58383941650391</v>
      </c>
      <c r="D68">
        <f t="shared" si="2"/>
        <v>5.4161605834960902</v>
      </c>
      <c r="E68">
        <f t="shared" si="3"/>
        <v>0.41432952880860086</v>
      </c>
      <c r="F68" s="2">
        <v>1</v>
      </c>
      <c r="G68" s="2">
        <v>3</v>
      </c>
      <c r="H68">
        <v>214</v>
      </c>
    </row>
    <row r="69" spans="1:8" x14ac:dyDescent="0.25">
      <c r="A69" t="s">
        <v>70</v>
      </c>
      <c r="B69">
        <v>31</v>
      </c>
      <c r="C69">
        <v>25.169509887695309</v>
      </c>
      <c r="D69">
        <f t="shared" si="2"/>
        <v>5.8304901123046911</v>
      </c>
      <c r="E69" t="str">
        <f t="shared" si="3"/>
        <v/>
      </c>
      <c r="F69" s="2">
        <v>1</v>
      </c>
      <c r="G69" s="2">
        <v>3</v>
      </c>
      <c r="H69">
        <v>214</v>
      </c>
    </row>
    <row r="70" spans="1:8" x14ac:dyDescent="0.25">
      <c r="A70" t="s">
        <v>71</v>
      </c>
      <c r="B70">
        <v>31</v>
      </c>
      <c r="C70">
        <v>27.52365875244141</v>
      </c>
      <c r="D70">
        <f t="shared" si="2"/>
        <v>3.4763412475585902</v>
      </c>
      <c r="E70">
        <f t="shared" si="3"/>
        <v>1.3444843292236293</v>
      </c>
      <c r="F70" s="2">
        <v>1</v>
      </c>
      <c r="G70" s="2">
        <v>3</v>
      </c>
      <c r="H70">
        <v>215</v>
      </c>
    </row>
    <row r="71" spans="1:8" x14ac:dyDescent="0.25">
      <c r="A71" t="s">
        <v>72</v>
      </c>
      <c r="B71">
        <v>31</v>
      </c>
      <c r="C71">
        <v>28.868143081665039</v>
      </c>
      <c r="D71">
        <f t="shared" si="2"/>
        <v>2.1318569183349609</v>
      </c>
      <c r="E71" t="str">
        <f t="shared" si="3"/>
        <v/>
      </c>
      <c r="F71" s="2">
        <v>1</v>
      </c>
      <c r="G71" s="2">
        <v>3</v>
      </c>
      <c r="H71">
        <v>215</v>
      </c>
    </row>
    <row r="72" spans="1:8" x14ac:dyDescent="0.25">
      <c r="A72" t="s">
        <v>73</v>
      </c>
      <c r="B72">
        <v>31</v>
      </c>
      <c r="C72">
        <v>26.85273361206055</v>
      </c>
      <c r="D72">
        <f t="shared" si="2"/>
        <v>4.1472663879394496</v>
      </c>
      <c r="E72">
        <f t="shared" si="3"/>
        <v>1.3403587341308594</v>
      </c>
      <c r="F72" s="2">
        <v>1</v>
      </c>
      <c r="G72" s="2">
        <v>3</v>
      </c>
      <c r="H72">
        <v>216</v>
      </c>
    </row>
    <row r="73" spans="1:8" x14ac:dyDescent="0.25">
      <c r="A73" t="s">
        <v>74</v>
      </c>
      <c r="B73">
        <v>31</v>
      </c>
      <c r="C73">
        <v>25.512374877929691</v>
      </c>
      <c r="D73">
        <f t="shared" si="2"/>
        <v>5.4876251220703089</v>
      </c>
      <c r="E73" t="str">
        <f t="shared" si="3"/>
        <v/>
      </c>
      <c r="F73" s="2">
        <v>1</v>
      </c>
      <c r="G73" s="2">
        <v>3</v>
      </c>
      <c r="H73">
        <v>216</v>
      </c>
    </row>
    <row r="74" spans="1:8" x14ac:dyDescent="0.25">
      <c r="A74" t="s">
        <v>75</v>
      </c>
      <c r="B74">
        <v>31</v>
      </c>
      <c r="C74">
        <v>27.083225250244141</v>
      </c>
      <c r="D74">
        <f t="shared" si="2"/>
        <v>3.9167747497558594</v>
      </c>
      <c r="E74">
        <f t="shared" si="3"/>
        <v>0.32982254028319957</v>
      </c>
      <c r="F74" s="2">
        <v>1</v>
      </c>
      <c r="G74" s="2">
        <v>3</v>
      </c>
      <c r="H74">
        <v>217</v>
      </c>
    </row>
    <row r="75" spans="1:8" x14ac:dyDescent="0.25">
      <c r="A75" t="s">
        <v>76</v>
      </c>
      <c r="B75">
        <v>31</v>
      </c>
      <c r="C75">
        <v>27.41304779052734</v>
      </c>
      <c r="D75">
        <f t="shared" si="2"/>
        <v>3.5869522094726598</v>
      </c>
      <c r="E75" t="str">
        <f t="shared" si="3"/>
        <v/>
      </c>
      <c r="F75" s="2">
        <v>1</v>
      </c>
      <c r="G75" s="2">
        <v>3</v>
      </c>
      <c r="H75">
        <v>217</v>
      </c>
    </row>
    <row r="76" spans="1:8" x14ac:dyDescent="0.25">
      <c r="A76" t="s">
        <v>77</v>
      </c>
      <c r="B76">
        <v>31</v>
      </c>
      <c r="C76">
        <v>26.785039901733398</v>
      </c>
      <c r="D76">
        <f t="shared" si="2"/>
        <v>4.2149600982666016</v>
      </c>
      <c r="E76">
        <f t="shared" si="3"/>
        <v>0.62308120727538707</v>
      </c>
      <c r="F76" s="2">
        <v>1</v>
      </c>
      <c r="G76" s="2">
        <v>3</v>
      </c>
      <c r="H76">
        <v>218</v>
      </c>
    </row>
    <row r="77" spans="1:8" x14ac:dyDescent="0.25">
      <c r="A77" t="s">
        <v>78</v>
      </c>
      <c r="B77">
        <v>31</v>
      </c>
      <c r="C77">
        <v>26.161958694458011</v>
      </c>
      <c r="D77">
        <f t="shared" si="2"/>
        <v>4.8380413055419886</v>
      </c>
      <c r="E77" t="str">
        <f t="shared" si="3"/>
        <v/>
      </c>
      <c r="F77" s="2">
        <v>1</v>
      </c>
      <c r="G77" s="2">
        <v>3</v>
      </c>
      <c r="H77">
        <v>218</v>
      </c>
    </row>
    <row r="78" spans="1:8" x14ac:dyDescent="0.25">
      <c r="A78" t="s">
        <v>79</v>
      </c>
      <c r="B78">
        <v>31</v>
      </c>
      <c r="C78">
        <v>27.65358924865723</v>
      </c>
      <c r="D78">
        <f t="shared" si="2"/>
        <v>3.3464107513427699</v>
      </c>
      <c r="E78">
        <f t="shared" si="3"/>
        <v>0.94975090026855113</v>
      </c>
      <c r="F78" s="2">
        <v>1</v>
      </c>
      <c r="G78" s="2">
        <v>3</v>
      </c>
      <c r="H78">
        <v>219</v>
      </c>
    </row>
    <row r="79" spans="1:8" x14ac:dyDescent="0.25">
      <c r="A79" t="s">
        <v>80</v>
      </c>
      <c r="B79">
        <v>31</v>
      </c>
      <c r="C79">
        <v>28.603340148925781</v>
      </c>
      <c r="D79">
        <f t="shared" si="2"/>
        <v>2.3966598510742188</v>
      </c>
      <c r="E79" t="str">
        <f t="shared" si="3"/>
        <v/>
      </c>
      <c r="F79" s="2">
        <v>1</v>
      </c>
      <c r="G79" s="2">
        <v>3</v>
      </c>
      <c r="H79">
        <v>219</v>
      </c>
    </row>
    <row r="80" spans="1:8" x14ac:dyDescent="0.25">
      <c r="A80" t="s">
        <v>81</v>
      </c>
      <c r="B80">
        <v>31</v>
      </c>
      <c r="C80">
        <v>28.592205047607418</v>
      </c>
      <c r="D80">
        <f t="shared" si="2"/>
        <v>2.4077949523925817</v>
      </c>
      <c r="E80">
        <f t="shared" si="3"/>
        <v>2.6895866394042969</v>
      </c>
      <c r="F80" s="2">
        <v>1</v>
      </c>
      <c r="G80" s="2">
        <v>3</v>
      </c>
      <c r="H80">
        <v>220</v>
      </c>
    </row>
    <row r="81" spans="1:8" x14ac:dyDescent="0.25">
      <c r="A81" t="s">
        <v>82</v>
      </c>
      <c r="B81">
        <v>31</v>
      </c>
      <c r="C81">
        <v>25.902618408203121</v>
      </c>
      <c r="D81">
        <f t="shared" si="2"/>
        <v>5.0973815917968786</v>
      </c>
      <c r="E81" t="str">
        <f t="shared" si="3"/>
        <v/>
      </c>
      <c r="F81" s="2">
        <v>1</v>
      </c>
      <c r="G81" s="2">
        <v>3</v>
      </c>
      <c r="H81">
        <v>220</v>
      </c>
    </row>
    <row r="82" spans="1:8" x14ac:dyDescent="0.25">
      <c r="A82" t="s">
        <v>83</v>
      </c>
      <c r="B82">
        <v>30</v>
      </c>
      <c r="C82">
        <v>21.547969818115231</v>
      </c>
      <c r="D82">
        <f t="shared" si="2"/>
        <v>8.4520301818847692</v>
      </c>
      <c r="E82">
        <f t="shared" si="3"/>
        <v>0.95312118530273793</v>
      </c>
      <c r="F82" s="2">
        <v>2</v>
      </c>
      <c r="G82" s="2">
        <v>3</v>
      </c>
      <c r="H82">
        <v>301</v>
      </c>
    </row>
    <row r="83" spans="1:8" x14ac:dyDescent="0.25">
      <c r="A83" t="s">
        <v>84</v>
      </c>
      <c r="B83">
        <v>30</v>
      </c>
      <c r="C83">
        <v>22.501091003417969</v>
      </c>
      <c r="D83">
        <f t="shared" si="2"/>
        <v>7.4989089965820313</v>
      </c>
      <c r="E83" t="str">
        <f t="shared" si="3"/>
        <v/>
      </c>
      <c r="F83" s="2">
        <v>2</v>
      </c>
      <c r="G83" s="2">
        <v>3</v>
      </c>
      <c r="H83">
        <v>301</v>
      </c>
    </row>
    <row r="84" spans="1:8" x14ac:dyDescent="0.25">
      <c r="A84" t="s">
        <v>85</v>
      </c>
      <c r="B84">
        <v>30</v>
      </c>
      <c r="C84">
        <v>21.504806518554691</v>
      </c>
      <c r="D84">
        <f t="shared" si="2"/>
        <v>8.4951934814453089</v>
      </c>
      <c r="E84">
        <f t="shared" si="3"/>
        <v>1.0155868530273509</v>
      </c>
      <c r="F84" s="2">
        <v>2</v>
      </c>
      <c r="G84" s="2">
        <v>3</v>
      </c>
      <c r="H84">
        <v>302</v>
      </c>
    </row>
    <row r="85" spans="1:8" x14ac:dyDescent="0.25">
      <c r="A85" t="s">
        <v>86</v>
      </c>
      <c r="B85">
        <v>30</v>
      </c>
      <c r="C85">
        <v>20.48921966552734</v>
      </c>
      <c r="D85">
        <f t="shared" si="2"/>
        <v>9.5107803344726598</v>
      </c>
      <c r="E85" t="str">
        <f t="shared" si="3"/>
        <v/>
      </c>
      <c r="F85" s="2">
        <v>2</v>
      </c>
      <c r="G85" s="2">
        <v>3</v>
      </c>
      <c r="H85">
        <v>302</v>
      </c>
    </row>
    <row r="86" spans="1:8" x14ac:dyDescent="0.25">
      <c r="A86" t="s">
        <v>87</v>
      </c>
      <c r="B86">
        <v>30</v>
      </c>
      <c r="C86">
        <v>23.475505828857418</v>
      </c>
      <c r="D86">
        <f t="shared" si="2"/>
        <v>6.5244941711425817</v>
      </c>
      <c r="E86">
        <f t="shared" si="3"/>
        <v>1.8340988159179688</v>
      </c>
      <c r="F86" s="2">
        <v>2</v>
      </c>
      <c r="G86" s="2">
        <v>3</v>
      </c>
      <c r="H86">
        <v>303</v>
      </c>
    </row>
    <row r="87" spans="1:8" x14ac:dyDescent="0.25">
      <c r="A87" t="s">
        <v>88</v>
      </c>
      <c r="B87">
        <v>30</v>
      </c>
      <c r="C87">
        <v>21.64140701293945</v>
      </c>
      <c r="D87">
        <f t="shared" si="2"/>
        <v>8.3585929870605504</v>
      </c>
      <c r="E87" t="str">
        <f t="shared" si="3"/>
        <v/>
      </c>
      <c r="F87" s="2">
        <v>2</v>
      </c>
      <c r="G87" s="2">
        <v>3</v>
      </c>
      <c r="H87">
        <v>303</v>
      </c>
    </row>
    <row r="88" spans="1:8" x14ac:dyDescent="0.25">
      <c r="A88" t="s">
        <v>89</v>
      </c>
      <c r="B88">
        <v>30</v>
      </c>
      <c r="C88">
        <v>22.098917007446289</v>
      </c>
      <c r="D88">
        <f t="shared" si="2"/>
        <v>7.9010829925537109</v>
      </c>
      <c r="E88">
        <f t="shared" si="3"/>
        <v>0.2598876953125</v>
      </c>
      <c r="F88" s="2">
        <v>2</v>
      </c>
      <c r="G88" s="2">
        <v>3</v>
      </c>
      <c r="H88">
        <v>304</v>
      </c>
    </row>
    <row r="89" spans="1:8" x14ac:dyDescent="0.25">
      <c r="A89" t="s">
        <v>90</v>
      </c>
      <c r="B89">
        <v>30</v>
      </c>
      <c r="C89">
        <v>21.839029312133789</v>
      </c>
      <c r="D89">
        <f t="shared" si="2"/>
        <v>8.1609706878662109</v>
      </c>
      <c r="E89" t="str">
        <f t="shared" si="3"/>
        <v/>
      </c>
      <c r="F89" s="2">
        <v>2</v>
      </c>
      <c r="G89" s="2">
        <v>3</v>
      </c>
      <c r="H89">
        <v>304</v>
      </c>
    </row>
    <row r="90" spans="1:8" x14ac:dyDescent="0.25">
      <c r="A90" t="s">
        <v>91</v>
      </c>
      <c r="B90">
        <v>30</v>
      </c>
      <c r="C90">
        <v>23.222402572631839</v>
      </c>
      <c r="D90">
        <f t="shared" si="2"/>
        <v>6.7775974273681605</v>
      </c>
      <c r="E90">
        <f t="shared" si="3"/>
        <v>0.35749053955078125</v>
      </c>
      <c r="F90" s="2">
        <v>2</v>
      </c>
      <c r="G90" s="2">
        <v>3</v>
      </c>
      <c r="H90">
        <v>305</v>
      </c>
    </row>
    <row r="91" spans="1:8" x14ac:dyDescent="0.25">
      <c r="A91" t="s">
        <v>92</v>
      </c>
      <c r="B91">
        <v>30</v>
      </c>
      <c r="C91">
        <v>23.579893112182621</v>
      </c>
      <c r="D91">
        <f t="shared" si="2"/>
        <v>6.4201068878173793</v>
      </c>
      <c r="E91" t="str">
        <f t="shared" si="3"/>
        <v/>
      </c>
      <c r="F91" s="2">
        <v>2</v>
      </c>
      <c r="G91" s="2">
        <v>3</v>
      </c>
      <c r="H91">
        <v>305</v>
      </c>
    </row>
    <row r="92" spans="1:8" x14ac:dyDescent="0.25">
      <c r="A92" t="s">
        <v>93</v>
      </c>
      <c r="B92">
        <v>30</v>
      </c>
      <c r="C92">
        <v>21.7307243347168</v>
      </c>
      <c r="D92">
        <f t="shared" si="2"/>
        <v>8.2692756652831996</v>
      </c>
      <c r="E92">
        <f t="shared" si="3"/>
        <v>2.4059295654300428E-2</v>
      </c>
      <c r="F92" s="2">
        <v>2</v>
      </c>
      <c r="G92" s="2">
        <v>3</v>
      </c>
      <c r="H92">
        <v>306</v>
      </c>
    </row>
    <row r="93" spans="1:8" x14ac:dyDescent="0.25">
      <c r="A93" t="s">
        <v>94</v>
      </c>
      <c r="B93">
        <v>30</v>
      </c>
      <c r="C93">
        <v>21.7066650390625</v>
      </c>
      <c r="D93">
        <f t="shared" si="2"/>
        <v>8.2933349609375</v>
      </c>
      <c r="E93" t="str">
        <f t="shared" si="3"/>
        <v/>
      </c>
      <c r="F93" s="2">
        <v>2</v>
      </c>
      <c r="G93" s="2">
        <v>3</v>
      </c>
      <c r="H93">
        <v>306</v>
      </c>
    </row>
    <row r="94" spans="1:8" x14ac:dyDescent="0.25">
      <c r="A94" t="s">
        <v>95</v>
      </c>
      <c r="B94">
        <v>30</v>
      </c>
      <c r="C94">
        <v>23.731977462768551</v>
      </c>
      <c r="D94">
        <f t="shared" si="2"/>
        <v>6.2680225372314489</v>
      </c>
      <c r="E94">
        <f t="shared" si="3"/>
        <v>0.14210700988769176</v>
      </c>
      <c r="F94" s="2">
        <v>2</v>
      </c>
      <c r="G94" s="2">
        <v>3</v>
      </c>
      <c r="H94">
        <v>307</v>
      </c>
    </row>
    <row r="95" spans="1:8" x14ac:dyDescent="0.25">
      <c r="A95" t="s">
        <v>96</v>
      </c>
      <c r="B95">
        <v>30</v>
      </c>
      <c r="C95">
        <v>23.589870452880859</v>
      </c>
      <c r="D95">
        <f t="shared" si="2"/>
        <v>6.4101295471191406</v>
      </c>
      <c r="E95" t="str">
        <f t="shared" si="3"/>
        <v/>
      </c>
      <c r="F95" s="2">
        <v>2</v>
      </c>
      <c r="G95" s="2">
        <v>3</v>
      </c>
      <c r="H95">
        <v>307</v>
      </c>
    </row>
    <row r="96" spans="1:8" x14ac:dyDescent="0.25">
      <c r="A96" t="s">
        <v>97</v>
      </c>
      <c r="B96">
        <v>30</v>
      </c>
      <c r="C96">
        <v>22.527524948120121</v>
      </c>
      <c r="D96">
        <f t="shared" si="2"/>
        <v>7.4724750518798793</v>
      </c>
      <c r="E96">
        <f t="shared" si="3"/>
        <v>0.87446022033691051</v>
      </c>
      <c r="F96" s="2">
        <v>2</v>
      </c>
      <c r="G96" s="2">
        <v>3</v>
      </c>
      <c r="H96">
        <v>308</v>
      </c>
    </row>
    <row r="97" spans="1:8" x14ac:dyDescent="0.25">
      <c r="A97" t="s">
        <v>98</v>
      </c>
      <c r="B97">
        <v>30</v>
      </c>
      <c r="C97">
        <v>23.401985168457031</v>
      </c>
      <c r="D97">
        <f t="shared" si="2"/>
        <v>6.5980148315429688</v>
      </c>
      <c r="E97" t="str">
        <f t="shared" si="3"/>
        <v/>
      </c>
      <c r="F97" s="2">
        <v>2</v>
      </c>
      <c r="G97" s="2">
        <v>3</v>
      </c>
      <c r="H97">
        <v>308</v>
      </c>
    </row>
    <row r="98" spans="1:8" x14ac:dyDescent="0.25">
      <c r="A98" t="s">
        <v>99</v>
      </c>
      <c r="B98">
        <v>30</v>
      </c>
      <c r="C98">
        <v>22.597860336303711</v>
      </c>
      <c r="D98">
        <f t="shared" si="2"/>
        <v>7.4021396636962891</v>
      </c>
      <c r="E98">
        <f t="shared" si="3"/>
        <v>1.0495014190673793</v>
      </c>
      <c r="F98" s="2">
        <v>2</v>
      </c>
      <c r="G98" s="2">
        <v>3</v>
      </c>
      <c r="H98">
        <v>309</v>
      </c>
    </row>
    <row r="99" spans="1:8" x14ac:dyDescent="0.25">
      <c r="A99" t="s">
        <v>100</v>
      </c>
      <c r="B99">
        <v>30</v>
      </c>
      <c r="C99">
        <v>23.64736175537109</v>
      </c>
      <c r="D99">
        <f t="shared" si="2"/>
        <v>6.3526382446289098</v>
      </c>
      <c r="E99" t="str">
        <f t="shared" si="3"/>
        <v/>
      </c>
      <c r="F99" s="2">
        <v>2</v>
      </c>
      <c r="G99" s="2">
        <v>3</v>
      </c>
      <c r="H99">
        <v>309</v>
      </c>
    </row>
    <row r="100" spans="1:8" x14ac:dyDescent="0.25">
      <c r="A100" t="s">
        <v>101</v>
      </c>
      <c r="B100">
        <v>30</v>
      </c>
      <c r="C100">
        <v>21.71442794799805</v>
      </c>
      <c r="D100">
        <f t="shared" si="2"/>
        <v>8.2855720520019496</v>
      </c>
      <c r="E100">
        <f t="shared" si="3"/>
        <v>2.1049098968505788</v>
      </c>
      <c r="F100" s="2">
        <v>2</v>
      </c>
      <c r="G100" s="2">
        <v>3</v>
      </c>
      <c r="H100">
        <v>310</v>
      </c>
    </row>
    <row r="101" spans="1:8" x14ac:dyDescent="0.25">
      <c r="A101" t="s">
        <v>102</v>
      </c>
      <c r="B101">
        <v>30</v>
      </c>
      <c r="C101">
        <v>23.819337844848629</v>
      </c>
      <c r="D101">
        <f t="shared" si="2"/>
        <v>6.1806621551513707</v>
      </c>
      <c r="E101" t="str">
        <f t="shared" si="3"/>
        <v/>
      </c>
      <c r="F101" s="2">
        <v>2</v>
      </c>
      <c r="G101" s="2">
        <v>3</v>
      </c>
      <c r="H101">
        <v>310</v>
      </c>
    </row>
    <row r="102" spans="1:8" x14ac:dyDescent="0.25">
      <c r="A102" t="s">
        <v>103</v>
      </c>
      <c r="B102">
        <v>30</v>
      </c>
      <c r="C102">
        <v>23.9501838684082</v>
      </c>
      <c r="D102">
        <f t="shared" si="2"/>
        <v>6.0498161315918004</v>
      </c>
      <c r="E102">
        <f t="shared" si="3"/>
        <v>1.8448143005371094</v>
      </c>
      <c r="F102" s="2">
        <v>2</v>
      </c>
      <c r="G102" s="2">
        <v>3</v>
      </c>
      <c r="H102">
        <v>311</v>
      </c>
    </row>
    <row r="103" spans="1:8" x14ac:dyDescent="0.25">
      <c r="A103" t="s">
        <v>104</v>
      </c>
      <c r="B103">
        <v>30</v>
      </c>
      <c r="C103">
        <v>22.10536956787109</v>
      </c>
      <c r="D103">
        <f t="shared" si="2"/>
        <v>7.8946304321289098</v>
      </c>
      <c r="E103" t="str">
        <f t="shared" si="3"/>
        <v/>
      </c>
      <c r="F103" s="2">
        <v>2</v>
      </c>
      <c r="G103" s="2">
        <v>3</v>
      </c>
      <c r="H103">
        <v>311</v>
      </c>
    </row>
    <row r="104" spans="1:8" x14ac:dyDescent="0.25">
      <c r="A104" t="s">
        <v>105</v>
      </c>
      <c r="B104">
        <v>30</v>
      </c>
      <c r="C104">
        <v>23.830936431884769</v>
      </c>
      <c r="D104">
        <f t="shared" si="2"/>
        <v>6.1690635681152308</v>
      </c>
      <c r="E104">
        <f t="shared" si="3"/>
        <v>0.60127639770507813</v>
      </c>
      <c r="F104" s="2">
        <v>2</v>
      </c>
      <c r="G104" s="2">
        <v>3</v>
      </c>
      <c r="H104">
        <v>312</v>
      </c>
    </row>
    <row r="105" spans="1:8" x14ac:dyDescent="0.25">
      <c r="A105" t="s">
        <v>106</v>
      </c>
      <c r="B105">
        <v>30</v>
      </c>
      <c r="C105">
        <v>23.229660034179691</v>
      </c>
      <c r="D105">
        <f t="shared" si="2"/>
        <v>6.7703399658203089</v>
      </c>
      <c r="E105" t="str">
        <f t="shared" si="3"/>
        <v/>
      </c>
      <c r="F105" s="2">
        <v>2</v>
      </c>
      <c r="G105" s="2">
        <v>3</v>
      </c>
      <c r="H105">
        <v>312</v>
      </c>
    </row>
    <row r="106" spans="1:8" x14ac:dyDescent="0.25">
      <c r="A106" t="s">
        <v>107</v>
      </c>
      <c r="B106">
        <v>30</v>
      </c>
      <c r="C106">
        <v>24.043746948242191</v>
      </c>
      <c r="D106">
        <f t="shared" si="2"/>
        <v>5.9562530517578089</v>
      </c>
      <c r="E106">
        <f t="shared" si="3"/>
        <v>3.2281990051269602</v>
      </c>
      <c r="F106" s="2">
        <v>2</v>
      </c>
      <c r="G106" s="2">
        <v>3</v>
      </c>
      <c r="H106">
        <v>313</v>
      </c>
    </row>
    <row r="107" spans="1:8" x14ac:dyDescent="0.25">
      <c r="A107" t="s">
        <v>108</v>
      </c>
      <c r="B107">
        <v>30</v>
      </c>
      <c r="C107">
        <v>20.815547943115231</v>
      </c>
      <c r="D107">
        <f t="shared" si="2"/>
        <v>9.1844520568847692</v>
      </c>
      <c r="E107" t="str">
        <f t="shared" si="3"/>
        <v/>
      </c>
      <c r="F107" s="2">
        <v>2</v>
      </c>
      <c r="G107" s="2">
        <v>3</v>
      </c>
      <c r="H107">
        <v>313</v>
      </c>
    </row>
    <row r="108" spans="1:8" x14ac:dyDescent="0.25">
      <c r="A108" t="s">
        <v>109</v>
      </c>
      <c r="B108">
        <v>30</v>
      </c>
      <c r="C108">
        <v>20.927299499511719</v>
      </c>
      <c r="D108">
        <f t="shared" si="2"/>
        <v>9.0727005004882813</v>
      </c>
      <c r="E108">
        <f t="shared" si="3"/>
        <v>0.2651824951171875</v>
      </c>
      <c r="F108" s="2">
        <v>2</v>
      </c>
      <c r="G108" s="2">
        <v>3</v>
      </c>
      <c r="H108">
        <v>314</v>
      </c>
    </row>
    <row r="109" spans="1:8" x14ac:dyDescent="0.25">
      <c r="A109" t="s">
        <v>110</v>
      </c>
      <c r="B109">
        <v>30</v>
      </c>
      <c r="C109">
        <v>20.662117004394531</v>
      </c>
      <c r="D109">
        <f t="shared" si="2"/>
        <v>9.3378829956054688</v>
      </c>
      <c r="E109" t="str">
        <f t="shared" si="3"/>
        <v/>
      </c>
      <c r="F109" s="2">
        <v>2</v>
      </c>
      <c r="G109" s="2">
        <v>3</v>
      </c>
      <c r="H109">
        <v>314</v>
      </c>
    </row>
    <row r="110" spans="1:8" x14ac:dyDescent="0.25">
      <c r="A110" t="s">
        <v>111</v>
      </c>
      <c r="B110">
        <v>30</v>
      </c>
      <c r="C110">
        <v>23.77603721618652</v>
      </c>
      <c r="D110">
        <f t="shared" si="2"/>
        <v>6.2239627838134801</v>
      </c>
      <c r="E110">
        <f t="shared" si="3"/>
        <v>0.22011756896971946</v>
      </c>
      <c r="F110" s="2">
        <v>2</v>
      </c>
      <c r="G110" s="2">
        <v>3</v>
      </c>
      <c r="H110">
        <v>315</v>
      </c>
    </row>
    <row r="111" spans="1:8" x14ac:dyDescent="0.25">
      <c r="A111" t="s">
        <v>112</v>
      </c>
      <c r="B111">
        <v>30</v>
      </c>
      <c r="C111">
        <v>23.5559196472168</v>
      </c>
      <c r="D111">
        <f t="shared" si="2"/>
        <v>6.4440803527831996</v>
      </c>
      <c r="E111" t="str">
        <f t="shared" si="3"/>
        <v/>
      </c>
      <c r="F111" s="2">
        <v>2</v>
      </c>
      <c r="G111" s="2">
        <v>3</v>
      </c>
      <c r="H111">
        <v>315</v>
      </c>
    </row>
    <row r="112" spans="1:8" x14ac:dyDescent="0.25">
      <c r="A112" t="s">
        <v>113</v>
      </c>
      <c r="B112">
        <v>30</v>
      </c>
      <c r="C112">
        <v>22.803657531738281</v>
      </c>
      <c r="D112">
        <f t="shared" si="2"/>
        <v>7.1963424682617188</v>
      </c>
      <c r="E112">
        <f t="shared" si="3"/>
        <v>9.2336654663082385E-2</v>
      </c>
      <c r="F112" s="2">
        <v>2</v>
      </c>
      <c r="G112" s="2">
        <v>3</v>
      </c>
      <c r="H112">
        <v>316</v>
      </c>
    </row>
    <row r="113" spans="1:8" x14ac:dyDescent="0.25">
      <c r="A113" t="s">
        <v>114</v>
      </c>
      <c r="B113">
        <v>30</v>
      </c>
      <c r="C113">
        <v>22.711320877075199</v>
      </c>
      <c r="D113">
        <f t="shared" si="2"/>
        <v>7.2886791229248011</v>
      </c>
      <c r="E113" t="str">
        <f t="shared" si="3"/>
        <v/>
      </c>
      <c r="F113" s="2">
        <v>2</v>
      </c>
      <c r="G113" s="2">
        <v>3</v>
      </c>
      <c r="H113">
        <v>316</v>
      </c>
    </row>
    <row r="114" spans="1:8" x14ac:dyDescent="0.25">
      <c r="A114" t="s">
        <v>115</v>
      </c>
      <c r="B114">
        <v>30</v>
      </c>
      <c r="C114">
        <v>23.139411926269531</v>
      </c>
      <c r="D114">
        <f t="shared" si="2"/>
        <v>6.8605880737304688</v>
      </c>
      <c r="E114">
        <f t="shared" si="3"/>
        <v>0.78687667846680043</v>
      </c>
      <c r="F114" s="2">
        <v>2</v>
      </c>
      <c r="G114" s="2">
        <v>3</v>
      </c>
      <c r="H114">
        <v>317</v>
      </c>
    </row>
    <row r="115" spans="1:8" x14ac:dyDescent="0.25">
      <c r="A115" t="s">
        <v>116</v>
      </c>
      <c r="B115">
        <v>30</v>
      </c>
      <c r="C115">
        <v>22.352535247802731</v>
      </c>
      <c r="D115">
        <f t="shared" si="2"/>
        <v>7.6474647521972692</v>
      </c>
      <c r="E115" t="str">
        <f t="shared" si="3"/>
        <v/>
      </c>
      <c r="F115" s="2">
        <v>2</v>
      </c>
      <c r="G115" s="2">
        <v>3</v>
      </c>
      <c r="H115">
        <v>317</v>
      </c>
    </row>
    <row r="116" spans="1:8" x14ac:dyDescent="0.25">
      <c r="A116" t="s">
        <v>117</v>
      </c>
      <c r="B116">
        <v>30</v>
      </c>
      <c r="C116">
        <v>22.495101928710941</v>
      </c>
      <c r="D116">
        <f t="shared" si="2"/>
        <v>7.5048980712890589</v>
      </c>
      <c r="E116">
        <f t="shared" si="3"/>
        <v>0.40135574340819957</v>
      </c>
      <c r="F116" s="2">
        <v>2</v>
      </c>
      <c r="G116" s="2">
        <v>3</v>
      </c>
      <c r="H116">
        <v>318</v>
      </c>
    </row>
    <row r="117" spans="1:8" x14ac:dyDescent="0.25">
      <c r="A117" t="s">
        <v>118</v>
      </c>
      <c r="B117">
        <v>30</v>
      </c>
      <c r="C117">
        <v>22.896457672119141</v>
      </c>
      <c r="D117">
        <f t="shared" si="2"/>
        <v>7.1035423278808594</v>
      </c>
      <c r="E117" t="str">
        <f t="shared" si="3"/>
        <v/>
      </c>
      <c r="F117" s="2">
        <v>2</v>
      </c>
      <c r="G117" s="2">
        <v>3</v>
      </c>
      <c r="H117">
        <v>318</v>
      </c>
    </row>
    <row r="118" spans="1:8" x14ac:dyDescent="0.25">
      <c r="A118" t="s">
        <v>119</v>
      </c>
      <c r="B118">
        <v>30</v>
      </c>
      <c r="C118">
        <v>23.716472625732418</v>
      </c>
      <c r="D118">
        <f t="shared" si="2"/>
        <v>6.2835273742675817</v>
      </c>
      <c r="E118">
        <f t="shared" si="3"/>
        <v>1.0255622863769496</v>
      </c>
      <c r="F118" s="2">
        <v>2</v>
      </c>
      <c r="G118" s="2">
        <v>3</v>
      </c>
      <c r="H118">
        <v>319</v>
      </c>
    </row>
    <row r="119" spans="1:8" x14ac:dyDescent="0.25">
      <c r="A119" t="s">
        <v>120</v>
      </c>
      <c r="B119">
        <v>30</v>
      </c>
      <c r="C119">
        <v>22.690910339355469</v>
      </c>
      <c r="D119">
        <f t="shared" si="2"/>
        <v>7.3090896606445313</v>
      </c>
      <c r="E119" t="str">
        <f t="shared" si="3"/>
        <v/>
      </c>
      <c r="F119" s="2">
        <v>2</v>
      </c>
      <c r="G119" s="2">
        <v>3</v>
      </c>
      <c r="H119">
        <v>319</v>
      </c>
    </row>
    <row r="120" spans="1:8" x14ac:dyDescent="0.25">
      <c r="A120" t="s">
        <v>121</v>
      </c>
      <c r="B120">
        <v>30</v>
      </c>
      <c r="C120">
        <v>22.142253875732418</v>
      </c>
      <c r="D120">
        <f t="shared" si="2"/>
        <v>7.8577461242675817</v>
      </c>
      <c r="E120">
        <f t="shared" si="3"/>
        <v>1.0229244232177805</v>
      </c>
      <c r="F120" s="2">
        <v>2</v>
      </c>
      <c r="G120" s="2">
        <v>3</v>
      </c>
      <c r="H120">
        <v>320</v>
      </c>
    </row>
    <row r="121" spans="1:8" x14ac:dyDescent="0.25">
      <c r="A121" t="s">
        <v>122</v>
      </c>
      <c r="B121">
        <v>30</v>
      </c>
      <c r="C121">
        <v>23.165178298950199</v>
      </c>
      <c r="D121">
        <f t="shared" si="2"/>
        <v>6.8348217010498011</v>
      </c>
      <c r="E121" t="str">
        <f t="shared" si="3"/>
        <v/>
      </c>
      <c r="F121" s="2">
        <v>2</v>
      </c>
      <c r="G121" s="2">
        <v>3</v>
      </c>
      <c r="H121">
        <v>320</v>
      </c>
    </row>
  </sheetData>
  <phoneticPr fontId="2" type="noConversion"/>
  <conditionalFormatting sqref="E2:E121">
    <cfRule type="cellIs" dxfId="8" priority="1" operator="between">
      <formula>1000</formula>
      <formula>6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topLeftCell="A34" workbookViewId="0">
      <selection activeCell="D44" sqref="D44"/>
    </sheetView>
  </sheetViews>
  <sheetFormatPr defaultRowHeight="15.75" x14ac:dyDescent="0.25"/>
  <cols>
    <col min="1" max="1" width="12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231</v>
      </c>
      <c r="E1" s="1" t="s">
        <v>206</v>
      </c>
      <c r="F1" s="1" t="s">
        <v>232</v>
      </c>
      <c r="G1" s="1" t="s">
        <v>233</v>
      </c>
      <c r="H1" s="1" t="s">
        <v>210</v>
      </c>
    </row>
    <row r="2" spans="1:8" x14ac:dyDescent="0.25">
      <c r="A2" t="s">
        <v>123</v>
      </c>
      <c r="B2">
        <v>28</v>
      </c>
      <c r="C2">
        <v>31.565908432006839</v>
      </c>
      <c r="D2">
        <f>ABS(C2-B2)</f>
        <v>3.5659084320068395</v>
      </c>
      <c r="E2">
        <f>IF(COUNTIF($H:$H,H2)=2,ABS(C2-_xlfn.XLOOKUP(H2,$H:$H,$C:$C,"",0,-1)),"")</f>
        <v>1.1960430145263707</v>
      </c>
      <c r="F2">
        <v>2</v>
      </c>
      <c r="G2">
        <v>3</v>
      </c>
      <c r="H2">
        <v>113</v>
      </c>
    </row>
    <row r="3" spans="1:8" x14ac:dyDescent="0.25">
      <c r="A3" t="s">
        <v>124</v>
      </c>
      <c r="B3">
        <v>28</v>
      </c>
      <c r="C3">
        <v>30.369865417480469</v>
      </c>
      <c r="D3">
        <f t="shared" ref="D3:D43" si="0">ABS(C3-B3)</f>
        <v>2.3698654174804688</v>
      </c>
      <c r="E3">
        <f t="shared" ref="E3:E43" si="1">IF(COUNTIF($H:$H,H3)=2,ABS(C3-_xlfn.XLOOKUP(H3,$H:$H,$C:$C,"",0,-1)),"")</f>
        <v>0</v>
      </c>
      <c r="F3">
        <v>2</v>
      </c>
      <c r="G3">
        <v>3</v>
      </c>
      <c r="H3">
        <v>113</v>
      </c>
    </row>
    <row r="4" spans="1:8" x14ac:dyDescent="0.25">
      <c r="A4" t="s">
        <v>125</v>
      </c>
      <c r="B4">
        <v>30</v>
      </c>
      <c r="C4">
        <v>32.608066558837891</v>
      </c>
      <c r="D4">
        <f t="shared" si="0"/>
        <v>2.6080665588378906</v>
      </c>
      <c r="E4">
        <f t="shared" si="1"/>
        <v>0.37420272827147727</v>
      </c>
      <c r="F4">
        <v>1</v>
      </c>
      <c r="G4">
        <v>3</v>
      </c>
      <c r="H4">
        <v>127</v>
      </c>
    </row>
    <row r="5" spans="1:8" x14ac:dyDescent="0.25">
      <c r="A5" t="s">
        <v>126</v>
      </c>
      <c r="B5">
        <v>30</v>
      </c>
      <c r="C5">
        <v>32.233863830566413</v>
      </c>
      <c r="D5">
        <f t="shared" si="0"/>
        <v>2.2338638305664134</v>
      </c>
      <c r="E5">
        <f t="shared" si="1"/>
        <v>0</v>
      </c>
      <c r="F5">
        <v>1</v>
      </c>
      <c r="G5">
        <v>3</v>
      </c>
      <c r="H5">
        <v>127</v>
      </c>
    </row>
    <row r="6" spans="1:8" x14ac:dyDescent="0.25">
      <c r="A6" t="s">
        <v>127</v>
      </c>
      <c r="B6">
        <v>28</v>
      </c>
      <c r="C6">
        <v>31.78824615478516</v>
      </c>
      <c r="D6">
        <f t="shared" si="0"/>
        <v>3.7882461547851598</v>
      </c>
      <c r="E6">
        <f t="shared" si="1"/>
        <v>0.29062271118163707</v>
      </c>
      <c r="F6">
        <v>1</v>
      </c>
      <c r="G6">
        <v>3</v>
      </c>
      <c r="H6">
        <v>142</v>
      </c>
    </row>
    <row r="7" spans="1:8" x14ac:dyDescent="0.25">
      <c r="A7" t="s">
        <v>128</v>
      </c>
      <c r="B7">
        <v>28</v>
      </c>
      <c r="C7">
        <v>32.078868865966797</v>
      </c>
      <c r="D7">
        <f t="shared" si="0"/>
        <v>4.0788688659667969</v>
      </c>
      <c r="E7">
        <f t="shared" si="1"/>
        <v>0</v>
      </c>
      <c r="F7">
        <v>1</v>
      </c>
      <c r="G7">
        <v>3</v>
      </c>
      <c r="H7">
        <v>142</v>
      </c>
    </row>
    <row r="8" spans="1:8" x14ac:dyDescent="0.25">
      <c r="A8" t="s">
        <v>129</v>
      </c>
      <c r="B8">
        <v>26</v>
      </c>
      <c r="C8">
        <v>24.58187103271484</v>
      </c>
      <c r="D8">
        <f t="shared" si="0"/>
        <v>1.4181289672851598</v>
      </c>
      <c r="E8">
        <f t="shared" si="1"/>
        <v>0.83074951171875</v>
      </c>
      <c r="F8">
        <v>2</v>
      </c>
      <c r="G8">
        <v>3</v>
      </c>
      <c r="H8">
        <v>239</v>
      </c>
    </row>
    <row r="9" spans="1:8" x14ac:dyDescent="0.25">
      <c r="A9" t="s">
        <v>130</v>
      </c>
      <c r="B9">
        <v>26</v>
      </c>
      <c r="C9">
        <v>23.75112152099609</v>
      </c>
      <c r="D9">
        <f t="shared" si="0"/>
        <v>2.2488784790039098</v>
      </c>
      <c r="E9">
        <f t="shared" si="1"/>
        <v>0</v>
      </c>
      <c r="F9">
        <v>2</v>
      </c>
      <c r="G9">
        <v>3</v>
      </c>
      <c r="H9">
        <v>239</v>
      </c>
    </row>
    <row r="10" spans="1:8" x14ac:dyDescent="0.25">
      <c r="A10" t="s">
        <v>131</v>
      </c>
      <c r="B10">
        <v>22</v>
      </c>
      <c r="C10">
        <v>24.498916625976559</v>
      </c>
      <c r="D10">
        <f t="shared" si="0"/>
        <v>2.4989166259765589</v>
      </c>
      <c r="E10">
        <f t="shared" si="1"/>
        <v>0.56540489196778054</v>
      </c>
      <c r="F10">
        <v>2</v>
      </c>
      <c r="G10">
        <v>3</v>
      </c>
      <c r="H10">
        <v>346</v>
      </c>
    </row>
    <row r="11" spans="1:8" x14ac:dyDescent="0.25">
      <c r="A11" t="s">
        <v>132</v>
      </c>
      <c r="B11">
        <v>22</v>
      </c>
      <c r="C11">
        <v>25.064321517944339</v>
      </c>
      <c r="D11">
        <f t="shared" si="0"/>
        <v>3.0643215179443395</v>
      </c>
      <c r="E11">
        <f t="shared" si="1"/>
        <v>0</v>
      </c>
      <c r="F11">
        <v>2</v>
      </c>
      <c r="G11">
        <v>3</v>
      </c>
      <c r="H11">
        <v>346</v>
      </c>
    </row>
    <row r="12" spans="1:8" x14ac:dyDescent="0.25">
      <c r="A12" t="s">
        <v>133</v>
      </c>
      <c r="B12">
        <v>26</v>
      </c>
      <c r="C12">
        <v>23.4188117980957</v>
      </c>
      <c r="D12">
        <f t="shared" si="0"/>
        <v>2.5811882019043004</v>
      </c>
      <c r="E12">
        <f t="shared" si="1"/>
        <v>0.16593933105469105</v>
      </c>
      <c r="F12">
        <v>1</v>
      </c>
      <c r="G12">
        <v>3</v>
      </c>
      <c r="H12">
        <v>422</v>
      </c>
    </row>
    <row r="13" spans="1:8" x14ac:dyDescent="0.25">
      <c r="A13" t="s">
        <v>134</v>
      </c>
      <c r="B13">
        <v>26</v>
      </c>
      <c r="C13">
        <v>23.584751129150391</v>
      </c>
      <c r="D13">
        <f t="shared" si="0"/>
        <v>2.4152488708496094</v>
      </c>
      <c r="E13">
        <f t="shared" si="1"/>
        <v>0</v>
      </c>
      <c r="F13">
        <v>1</v>
      </c>
      <c r="G13">
        <v>3</v>
      </c>
      <c r="H13">
        <v>422</v>
      </c>
    </row>
    <row r="14" spans="1:8" x14ac:dyDescent="0.25">
      <c r="A14" t="s">
        <v>135</v>
      </c>
      <c r="B14">
        <v>26</v>
      </c>
      <c r="C14">
        <v>31.924943923950199</v>
      </c>
      <c r="D14">
        <f t="shared" si="0"/>
        <v>5.9249439239501989</v>
      </c>
      <c r="E14">
        <f t="shared" si="1"/>
        <v>0.94333457946776988</v>
      </c>
      <c r="F14">
        <v>1</v>
      </c>
      <c r="G14">
        <v>3</v>
      </c>
      <c r="H14">
        <v>492</v>
      </c>
    </row>
    <row r="15" spans="1:8" x14ac:dyDescent="0.25">
      <c r="A15" t="s">
        <v>136</v>
      </c>
      <c r="B15">
        <v>26</v>
      </c>
      <c r="C15">
        <v>32.868278503417969</v>
      </c>
      <c r="D15">
        <f t="shared" si="0"/>
        <v>6.8682785034179688</v>
      </c>
      <c r="E15">
        <f t="shared" si="1"/>
        <v>0</v>
      </c>
      <c r="F15">
        <v>1</v>
      </c>
      <c r="G15">
        <v>3</v>
      </c>
      <c r="H15">
        <v>492</v>
      </c>
    </row>
    <row r="16" spans="1:8" x14ac:dyDescent="0.25">
      <c r="A16" t="s">
        <v>137</v>
      </c>
      <c r="B16">
        <v>23</v>
      </c>
      <c r="C16">
        <v>60.993579864501953</v>
      </c>
      <c r="D16">
        <f t="shared" si="0"/>
        <v>37.993579864501953</v>
      </c>
      <c r="E16">
        <f t="shared" si="1"/>
        <v>0.88623428344726563</v>
      </c>
      <c r="F16">
        <v>2</v>
      </c>
      <c r="G16">
        <v>3</v>
      </c>
      <c r="H16">
        <v>502</v>
      </c>
    </row>
    <row r="17" spans="1:8" x14ac:dyDescent="0.25">
      <c r="A17" t="s">
        <v>138</v>
      </c>
      <c r="B17">
        <v>23</v>
      </c>
      <c r="C17">
        <v>60.107345581054688</v>
      </c>
      <c r="D17">
        <f t="shared" si="0"/>
        <v>37.107345581054688</v>
      </c>
      <c r="E17">
        <f t="shared" si="1"/>
        <v>0</v>
      </c>
      <c r="F17">
        <v>2</v>
      </c>
      <c r="G17">
        <v>3</v>
      </c>
      <c r="H17">
        <v>502</v>
      </c>
    </row>
    <row r="18" spans="1:8" x14ac:dyDescent="0.25">
      <c r="A18" t="s">
        <v>139</v>
      </c>
      <c r="B18">
        <v>42</v>
      </c>
      <c r="C18">
        <v>47.429901123046882</v>
      </c>
      <c r="D18">
        <f t="shared" si="0"/>
        <v>5.4299011230468821</v>
      </c>
      <c r="E18">
        <f t="shared" si="1"/>
        <v>3.4724884033203054</v>
      </c>
      <c r="F18">
        <v>2</v>
      </c>
      <c r="G18">
        <v>3</v>
      </c>
      <c r="H18">
        <v>505</v>
      </c>
    </row>
    <row r="19" spans="1:8" x14ac:dyDescent="0.25">
      <c r="A19" t="s">
        <v>140</v>
      </c>
      <c r="B19">
        <v>42</v>
      </c>
      <c r="C19">
        <v>50.902389526367188</v>
      </c>
      <c r="D19">
        <f t="shared" si="0"/>
        <v>8.9023895263671875</v>
      </c>
      <c r="E19">
        <f t="shared" si="1"/>
        <v>0</v>
      </c>
      <c r="F19">
        <v>2</v>
      </c>
      <c r="G19">
        <v>3</v>
      </c>
      <c r="H19">
        <v>505</v>
      </c>
    </row>
    <row r="20" spans="1:8" x14ac:dyDescent="0.25">
      <c r="A20" t="s">
        <v>141</v>
      </c>
      <c r="B20">
        <v>32</v>
      </c>
      <c r="C20">
        <v>28.64695930480957</v>
      </c>
      <c r="D20">
        <f t="shared" si="0"/>
        <v>3.3530406951904297</v>
      </c>
      <c r="E20">
        <f t="shared" si="1"/>
        <v>0.54871559143066051</v>
      </c>
      <c r="F20">
        <v>1</v>
      </c>
      <c r="G20">
        <v>3</v>
      </c>
      <c r="H20">
        <v>656</v>
      </c>
    </row>
    <row r="21" spans="1:8" x14ac:dyDescent="0.25">
      <c r="A21" t="s">
        <v>142</v>
      </c>
      <c r="B21">
        <v>32</v>
      </c>
      <c r="C21">
        <v>28.09824371337891</v>
      </c>
      <c r="D21">
        <f t="shared" si="0"/>
        <v>3.9017562866210902</v>
      </c>
      <c r="E21">
        <f t="shared" si="1"/>
        <v>0</v>
      </c>
      <c r="F21">
        <v>1</v>
      </c>
      <c r="G21">
        <v>3</v>
      </c>
      <c r="H21">
        <v>656</v>
      </c>
    </row>
    <row r="22" spans="1:8" x14ac:dyDescent="0.25">
      <c r="A22" t="s">
        <v>143</v>
      </c>
      <c r="B22">
        <v>30</v>
      </c>
      <c r="C22">
        <v>27.224468231201168</v>
      </c>
      <c r="D22">
        <f t="shared" si="0"/>
        <v>2.7755317687988317</v>
      </c>
      <c r="E22">
        <f t="shared" si="1"/>
        <v>0.64916801452637074</v>
      </c>
      <c r="F22">
        <v>2</v>
      </c>
      <c r="G22">
        <v>3</v>
      </c>
      <c r="H22">
        <v>679</v>
      </c>
    </row>
    <row r="23" spans="1:8" x14ac:dyDescent="0.25">
      <c r="A23" t="s">
        <v>144</v>
      </c>
      <c r="B23">
        <v>30</v>
      </c>
      <c r="C23">
        <v>27.873636245727539</v>
      </c>
      <c r="D23">
        <f t="shared" si="0"/>
        <v>2.1263637542724609</v>
      </c>
      <c r="E23">
        <f t="shared" si="1"/>
        <v>0</v>
      </c>
      <c r="F23">
        <v>2</v>
      </c>
      <c r="G23">
        <v>3</v>
      </c>
      <c r="H23">
        <v>679</v>
      </c>
    </row>
    <row r="24" spans="1:8" x14ac:dyDescent="0.25">
      <c r="A24" t="s">
        <v>145</v>
      </c>
      <c r="B24">
        <v>49</v>
      </c>
      <c r="C24">
        <v>25.561004638671879</v>
      </c>
      <c r="D24">
        <f t="shared" si="0"/>
        <v>23.438995361328121</v>
      </c>
      <c r="E24">
        <f t="shared" si="1"/>
        <v>0.6217193603515625</v>
      </c>
      <c r="F24">
        <v>2</v>
      </c>
      <c r="G24">
        <v>3</v>
      </c>
      <c r="H24">
        <v>742</v>
      </c>
    </row>
    <row r="25" spans="1:8" x14ac:dyDescent="0.25">
      <c r="A25" t="s">
        <v>146</v>
      </c>
      <c r="B25">
        <v>49</v>
      </c>
      <c r="C25">
        <v>26.182723999023441</v>
      </c>
      <c r="D25">
        <f t="shared" si="0"/>
        <v>22.817276000976559</v>
      </c>
      <c r="E25">
        <f t="shared" si="1"/>
        <v>0</v>
      </c>
      <c r="F25">
        <v>2</v>
      </c>
      <c r="G25">
        <v>3</v>
      </c>
      <c r="H25">
        <v>742</v>
      </c>
    </row>
    <row r="26" spans="1:8" x14ac:dyDescent="0.25">
      <c r="A26" t="s">
        <v>147</v>
      </c>
      <c r="B26">
        <v>29</v>
      </c>
      <c r="C26">
        <v>30.057712554931641</v>
      </c>
      <c r="D26">
        <f t="shared" si="0"/>
        <v>1.0577125549316406</v>
      </c>
      <c r="E26">
        <f t="shared" si="1"/>
        <v>2.7291297912597727</v>
      </c>
      <c r="F26">
        <v>2</v>
      </c>
      <c r="G26">
        <v>3</v>
      </c>
      <c r="H26">
        <v>800</v>
      </c>
    </row>
    <row r="27" spans="1:8" x14ac:dyDescent="0.25">
      <c r="A27" t="s">
        <v>148</v>
      </c>
      <c r="B27">
        <v>29</v>
      </c>
      <c r="C27">
        <v>32.786842346191413</v>
      </c>
      <c r="D27">
        <f t="shared" si="0"/>
        <v>3.7868423461914134</v>
      </c>
      <c r="E27">
        <f t="shared" si="1"/>
        <v>0</v>
      </c>
      <c r="F27">
        <v>2</v>
      </c>
      <c r="G27">
        <v>3</v>
      </c>
      <c r="H27">
        <v>800</v>
      </c>
    </row>
    <row r="28" spans="1:8" x14ac:dyDescent="0.25">
      <c r="A28" t="s">
        <v>149</v>
      </c>
      <c r="B28">
        <v>34</v>
      </c>
      <c r="C28">
        <v>37.452583312988281</v>
      </c>
      <c r="D28">
        <f t="shared" si="0"/>
        <v>3.4525833129882813</v>
      </c>
      <c r="E28">
        <f t="shared" si="1"/>
        <v>0.23482894897460938</v>
      </c>
      <c r="F28">
        <v>1</v>
      </c>
      <c r="G28">
        <v>3</v>
      </c>
      <c r="H28">
        <v>814</v>
      </c>
    </row>
    <row r="29" spans="1:8" x14ac:dyDescent="0.25">
      <c r="A29" t="s">
        <v>150</v>
      </c>
      <c r="B29">
        <v>34</v>
      </c>
      <c r="C29">
        <v>37.217754364013672</v>
      </c>
      <c r="D29">
        <f t="shared" si="0"/>
        <v>3.2177543640136719</v>
      </c>
      <c r="E29">
        <f t="shared" si="1"/>
        <v>0</v>
      </c>
      <c r="F29">
        <v>1</v>
      </c>
      <c r="G29">
        <v>3</v>
      </c>
      <c r="H29">
        <v>814</v>
      </c>
    </row>
    <row r="30" spans="1:8" x14ac:dyDescent="0.25">
      <c r="A30" t="s">
        <v>151</v>
      </c>
      <c r="B30">
        <v>38</v>
      </c>
      <c r="C30">
        <v>35.501075744628913</v>
      </c>
      <c r="D30">
        <f t="shared" si="0"/>
        <v>2.4989242553710866</v>
      </c>
      <c r="E30">
        <f t="shared" si="1"/>
        <v>1.9131622314453054</v>
      </c>
      <c r="F30">
        <v>2</v>
      </c>
      <c r="G30">
        <v>3</v>
      </c>
      <c r="H30">
        <v>815</v>
      </c>
    </row>
    <row r="31" spans="1:8" x14ac:dyDescent="0.25">
      <c r="A31" t="s">
        <v>152</v>
      </c>
      <c r="B31">
        <v>38</v>
      </c>
      <c r="C31">
        <v>37.414237976074219</v>
      </c>
      <c r="D31">
        <f t="shared" si="0"/>
        <v>0.58576202392578125</v>
      </c>
      <c r="E31">
        <f t="shared" si="1"/>
        <v>0</v>
      </c>
      <c r="F31">
        <v>2</v>
      </c>
      <c r="G31">
        <v>3</v>
      </c>
      <c r="H31">
        <v>815</v>
      </c>
    </row>
    <row r="32" spans="1:8" x14ac:dyDescent="0.25">
      <c r="A32" t="s">
        <v>153</v>
      </c>
      <c r="B32">
        <v>25</v>
      </c>
      <c r="C32">
        <v>26.108242034912109</v>
      </c>
      <c r="D32">
        <f t="shared" si="0"/>
        <v>1.1082420349121094</v>
      </c>
      <c r="E32">
        <f t="shared" si="1"/>
        <v>0.35499572753905895</v>
      </c>
      <c r="F32">
        <v>1</v>
      </c>
      <c r="G32">
        <v>3</v>
      </c>
      <c r="H32">
        <v>849</v>
      </c>
    </row>
    <row r="33" spans="1:8" x14ac:dyDescent="0.25">
      <c r="A33" t="s">
        <v>154</v>
      </c>
      <c r="B33">
        <v>25</v>
      </c>
      <c r="C33">
        <v>25.75324630737305</v>
      </c>
      <c r="D33">
        <f t="shared" si="0"/>
        <v>0.75324630737305043</v>
      </c>
      <c r="E33">
        <f t="shared" si="1"/>
        <v>0</v>
      </c>
      <c r="F33">
        <v>1</v>
      </c>
      <c r="G33">
        <v>3</v>
      </c>
      <c r="H33">
        <v>849</v>
      </c>
    </row>
    <row r="34" spans="1:8" x14ac:dyDescent="0.25">
      <c r="A34" t="s">
        <v>155</v>
      </c>
      <c r="B34">
        <v>25</v>
      </c>
      <c r="C34">
        <v>27.951553344726559</v>
      </c>
      <c r="D34">
        <f t="shared" si="0"/>
        <v>2.9515533447265589</v>
      </c>
      <c r="E34">
        <f t="shared" si="1"/>
        <v>0.24544906616210938</v>
      </c>
      <c r="F34">
        <v>1</v>
      </c>
      <c r="G34">
        <v>3</v>
      </c>
      <c r="H34">
        <v>906</v>
      </c>
    </row>
    <row r="35" spans="1:8" x14ac:dyDescent="0.25">
      <c r="A35" t="s">
        <v>156</v>
      </c>
      <c r="B35">
        <v>25</v>
      </c>
      <c r="C35">
        <v>27.70610427856445</v>
      </c>
      <c r="D35">
        <f t="shared" si="0"/>
        <v>2.7061042785644496</v>
      </c>
      <c r="E35">
        <f t="shared" si="1"/>
        <v>0</v>
      </c>
      <c r="F35">
        <v>1</v>
      </c>
      <c r="G35">
        <v>3</v>
      </c>
      <c r="H35">
        <v>906</v>
      </c>
    </row>
    <row r="36" spans="1:8" x14ac:dyDescent="0.25">
      <c r="A36" t="s">
        <v>157</v>
      </c>
      <c r="B36">
        <v>25</v>
      </c>
      <c r="C36">
        <v>27.9073486328125</v>
      </c>
      <c r="D36">
        <f t="shared" si="0"/>
        <v>2.9073486328125</v>
      </c>
      <c r="E36">
        <f t="shared" si="1"/>
        <v>1.2592201232910192</v>
      </c>
      <c r="F36">
        <v>1</v>
      </c>
      <c r="G36">
        <v>3</v>
      </c>
      <c r="H36">
        <v>913</v>
      </c>
    </row>
    <row r="37" spans="1:8" x14ac:dyDescent="0.25">
      <c r="A37" t="s">
        <v>158</v>
      </c>
      <c r="B37">
        <v>25</v>
      </c>
      <c r="C37">
        <v>29.166568756103519</v>
      </c>
      <c r="D37">
        <f t="shared" si="0"/>
        <v>4.1665687561035192</v>
      </c>
      <c r="E37">
        <f t="shared" si="1"/>
        <v>0</v>
      </c>
      <c r="F37">
        <v>1</v>
      </c>
      <c r="G37">
        <v>3</v>
      </c>
      <c r="H37">
        <v>913</v>
      </c>
    </row>
    <row r="38" spans="1:8" x14ac:dyDescent="0.25">
      <c r="A38" t="s">
        <v>159</v>
      </c>
      <c r="B38">
        <v>30</v>
      </c>
      <c r="C38">
        <v>26.95786285400391</v>
      </c>
      <c r="D38">
        <f t="shared" si="0"/>
        <v>3.0421371459960902</v>
      </c>
      <c r="E38">
        <f t="shared" si="1"/>
        <v>0.37803077697753906</v>
      </c>
      <c r="F38">
        <v>1</v>
      </c>
      <c r="G38">
        <v>3</v>
      </c>
      <c r="H38">
        <v>916</v>
      </c>
    </row>
    <row r="39" spans="1:8" x14ac:dyDescent="0.25">
      <c r="A39" t="s">
        <v>160</v>
      </c>
      <c r="B39">
        <v>30</v>
      </c>
      <c r="C39">
        <v>26.579832077026371</v>
      </c>
      <c r="D39">
        <f t="shared" si="0"/>
        <v>3.4201679229736293</v>
      </c>
      <c r="E39">
        <f t="shared" si="1"/>
        <v>0</v>
      </c>
      <c r="F39">
        <v>1</v>
      </c>
      <c r="G39">
        <v>3</v>
      </c>
      <c r="H39">
        <v>916</v>
      </c>
    </row>
    <row r="40" spans="1:8" x14ac:dyDescent="0.25">
      <c r="A40" t="s">
        <v>161</v>
      </c>
      <c r="B40">
        <v>61</v>
      </c>
      <c r="C40">
        <v>62.381404876708977</v>
      </c>
      <c r="D40">
        <f t="shared" si="0"/>
        <v>1.3814048767089773</v>
      </c>
      <c r="E40">
        <f t="shared" si="1"/>
        <v>0.17012786865235086</v>
      </c>
      <c r="F40">
        <v>2</v>
      </c>
      <c r="G40">
        <v>3</v>
      </c>
      <c r="H40">
        <v>934</v>
      </c>
    </row>
    <row r="41" spans="1:8" x14ac:dyDescent="0.25">
      <c r="A41" t="s">
        <v>162</v>
      </c>
      <c r="B41">
        <v>61</v>
      </c>
      <c r="C41">
        <v>62.551532745361328</v>
      </c>
      <c r="D41">
        <f t="shared" si="0"/>
        <v>1.5515327453613281</v>
      </c>
      <c r="E41">
        <f t="shared" si="1"/>
        <v>0</v>
      </c>
      <c r="F41">
        <v>2</v>
      </c>
      <c r="G41">
        <v>3</v>
      </c>
      <c r="H41">
        <v>934</v>
      </c>
    </row>
    <row r="42" spans="1:8" x14ac:dyDescent="0.25">
      <c r="A42" t="s">
        <v>163</v>
      </c>
      <c r="B42">
        <v>38</v>
      </c>
      <c r="C42">
        <v>40.203060150146477</v>
      </c>
      <c r="D42">
        <f t="shared" si="0"/>
        <v>2.2030601501464773</v>
      </c>
      <c r="E42">
        <f t="shared" si="1"/>
        <v>1.97625732421875</v>
      </c>
      <c r="F42">
        <v>1</v>
      </c>
      <c r="G42">
        <v>3</v>
      </c>
      <c r="H42">
        <v>959</v>
      </c>
    </row>
    <row r="43" spans="1:8" x14ac:dyDescent="0.25">
      <c r="A43" t="s">
        <v>164</v>
      </c>
      <c r="B43">
        <v>38</v>
      </c>
      <c r="C43">
        <v>38.226802825927727</v>
      </c>
      <c r="D43">
        <f t="shared" si="0"/>
        <v>0.22680282592772727</v>
      </c>
      <c r="E43">
        <f t="shared" si="1"/>
        <v>0</v>
      </c>
      <c r="F43">
        <v>1</v>
      </c>
      <c r="G43">
        <v>3</v>
      </c>
      <c r="H43">
        <v>959</v>
      </c>
    </row>
  </sheetData>
  <phoneticPr fontId="2" type="noConversion"/>
  <conditionalFormatting sqref="E2:E43">
    <cfRule type="cellIs" dxfId="7" priority="1" operator="between">
      <formula>1000</formula>
      <formula>6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opLeftCell="A22" workbookViewId="0">
      <selection activeCell="D42" sqref="D42"/>
    </sheetView>
  </sheetViews>
  <sheetFormatPr defaultRowHeight="15.75" x14ac:dyDescent="0.25"/>
  <cols>
    <col min="1" max="1" width="17.7109375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7" max="7" width="9.140625" bestFit="1" customWidth="1"/>
    <col min="8" max="8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231</v>
      </c>
      <c r="E1" s="1" t="s">
        <v>206</v>
      </c>
      <c r="F1" s="1" t="s">
        <v>208</v>
      </c>
      <c r="G1" s="1" t="s">
        <v>209</v>
      </c>
      <c r="H1" s="1" t="s">
        <v>210</v>
      </c>
    </row>
    <row r="2" spans="1:8" x14ac:dyDescent="0.25">
      <c r="A2" t="s">
        <v>165</v>
      </c>
      <c r="B2">
        <v>20</v>
      </c>
      <c r="C2">
        <v>20.658721923828121</v>
      </c>
      <c r="D2">
        <f>ABS(C2-B2)</f>
        <v>0.65872192382812145</v>
      </c>
      <c r="E2">
        <f>IF(RIGHT(A2,3)="MR1",ABS(C2-_xlfn.XLOOKUP(SUBSTITUTE(A2,"_MR1","_MR2"),$A:$A,$C:$C)),"")</f>
        <v>0.40702438354492898</v>
      </c>
      <c r="F2">
        <v>2</v>
      </c>
      <c r="G2" s="2">
        <v>1.5</v>
      </c>
      <c r="H2" t="s">
        <v>211</v>
      </c>
    </row>
    <row r="3" spans="1:8" x14ac:dyDescent="0.25">
      <c r="A3" t="s">
        <v>166</v>
      </c>
      <c r="B3">
        <v>20</v>
      </c>
      <c r="C3">
        <v>21.06574630737305</v>
      </c>
      <c r="D3">
        <f t="shared" ref="D3:D41" si="0">ABS(C3-B3)</f>
        <v>1.0657463073730504</v>
      </c>
      <c r="E3" t="str">
        <f t="shared" ref="E3:E41" si="1">IF(RIGHT(A3,3)="MR1",ABS(C3-_xlfn.XLOOKUP(SUBSTITUTE(A3,"_MR1","_MR2"),$A:$A,$C:$C)),"")</f>
        <v/>
      </c>
      <c r="F3">
        <v>2</v>
      </c>
      <c r="G3" s="2">
        <v>1.5</v>
      </c>
      <c r="H3" t="s">
        <v>211</v>
      </c>
    </row>
    <row r="4" spans="1:8" x14ac:dyDescent="0.25">
      <c r="A4" t="s">
        <v>205</v>
      </c>
      <c r="B4">
        <v>25</v>
      </c>
      <c r="C4">
        <v>25.583347320556641</v>
      </c>
      <c r="D4">
        <f t="shared" si="0"/>
        <v>0.58334732055664063</v>
      </c>
      <c r="E4">
        <f t="shared" si="1"/>
        <v>0.33427429199219105</v>
      </c>
      <c r="F4">
        <v>2</v>
      </c>
      <c r="G4" s="2">
        <v>1.5</v>
      </c>
      <c r="H4" t="s">
        <v>212</v>
      </c>
    </row>
    <row r="5" spans="1:8" x14ac:dyDescent="0.25">
      <c r="A5" t="s">
        <v>168</v>
      </c>
      <c r="B5">
        <v>25</v>
      </c>
      <c r="C5">
        <v>25.917621612548832</v>
      </c>
      <c r="D5">
        <f t="shared" si="0"/>
        <v>0.91762161254883168</v>
      </c>
      <c r="E5" t="str">
        <f t="shared" si="1"/>
        <v/>
      </c>
      <c r="F5">
        <v>2</v>
      </c>
      <c r="G5" s="2">
        <v>1.5</v>
      </c>
      <c r="H5" t="s">
        <v>212</v>
      </c>
    </row>
    <row r="6" spans="1:8" x14ac:dyDescent="0.25">
      <c r="A6" t="s">
        <v>169</v>
      </c>
      <c r="B6">
        <v>22</v>
      </c>
      <c r="C6">
        <v>21.051837921142582</v>
      </c>
      <c r="D6">
        <f t="shared" si="0"/>
        <v>0.94816207885741832</v>
      </c>
      <c r="E6">
        <f t="shared" si="1"/>
        <v>0.18999862670897727</v>
      </c>
      <c r="F6">
        <v>1</v>
      </c>
      <c r="G6" s="2">
        <v>1.5</v>
      </c>
      <c r="H6" t="s">
        <v>213</v>
      </c>
    </row>
    <row r="7" spans="1:8" x14ac:dyDescent="0.25">
      <c r="A7" t="s">
        <v>170</v>
      </c>
      <c r="B7">
        <v>22</v>
      </c>
      <c r="C7">
        <v>21.241836547851559</v>
      </c>
      <c r="D7">
        <f t="shared" si="0"/>
        <v>0.75816345214844105</v>
      </c>
      <c r="E7" t="str">
        <f t="shared" si="1"/>
        <v/>
      </c>
      <c r="F7">
        <v>1</v>
      </c>
      <c r="G7" s="2">
        <v>1.5</v>
      </c>
      <c r="H7" t="s">
        <v>213</v>
      </c>
    </row>
    <row r="8" spans="1:8" x14ac:dyDescent="0.25">
      <c r="A8" t="s">
        <v>171</v>
      </c>
      <c r="B8">
        <v>29</v>
      </c>
      <c r="C8">
        <v>26.011079788208011</v>
      </c>
      <c r="D8">
        <f t="shared" si="0"/>
        <v>2.9889202117919886</v>
      </c>
      <c r="E8">
        <f t="shared" si="1"/>
        <v>0.85384178161620738</v>
      </c>
      <c r="F8">
        <v>1</v>
      </c>
      <c r="G8" s="2">
        <v>1.5</v>
      </c>
      <c r="H8" t="s">
        <v>214</v>
      </c>
    </row>
    <row r="9" spans="1:8" x14ac:dyDescent="0.25">
      <c r="A9" t="s">
        <v>172</v>
      </c>
      <c r="B9">
        <v>29</v>
      </c>
      <c r="C9">
        <v>26.864921569824219</v>
      </c>
      <c r="D9">
        <f t="shared" si="0"/>
        <v>2.1350784301757813</v>
      </c>
      <c r="E9" t="str">
        <f t="shared" si="1"/>
        <v/>
      </c>
      <c r="F9">
        <v>1</v>
      </c>
      <c r="G9" s="2">
        <v>1.5</v>
      </c>
      <c r="H9" t="s">
        <v>214</v>
      </c>
    </row>
    <row r="10" spans="1:8" x14ac:dyDescent="0.25">
      <c r="A10" t="s">
        <v>173</v>
      </c>
      <c r="B10">
        <v>23</v>
      </c>
      <c r="C10">
        <v>21.945526123046879</v>
      </c>
      <c r="D10">
        <f t="shared" si="0"/>
        <v>1.0544738769531214</v>
      </c>
      <c r="E10">
        <f t="shared" si="1"/>
        <v>0.69006538391113992</v>
      </c>
      <c r="F10">
        <v>1</v>
      </c>
      <c r="G10" s="2">
        <v>1.5</v>
      </c>
      <c r="H10" t="s">
        <v>215</v>
      </c>
    </row>
    <row r="11" spans="1:8" x14ac:dyDescent="0.25">
      <c r="A11" t="s">
        <v>174</v>
      </c>
      <c r="B11">
        <v>23</v>
      </c>
      <c r="C11">
        <v>21.255460739135739</v>
      </c>
      <c r="D11">
        <f t="shared" si="0"/>
        <v>1.7445392608642614</v>
      </c>
      <c r="E11" t="str">
        <f t="shared" si="1"/>
        <v/>
      </c>
      <c r="F11">
        <v>1</v>
      </c>
      <c r="G11" s="2">
        <v>1.5</v>
      </c>
      <c r="H11" t="s">
        <v>215</v>
      </c>
    </row>
    <row r="12" spans="1:8" x14ac:dyDescent="0.25">
      <c r="A12" t="s">
        <v>175</v>
      </c>
      <c r="B12">
        <v>25</v>
      </c>
      <c r="C12">
        <v>21.046693801879879</v>
      </c>
      <c r="D12">
        <f t="shared" si="0"/>
        <v>3.9533061981201207</v>
      </c>
      <c r="E12">
        <f t="shared" si="1"/>
        <v>0.39837646484375</v>
      </c>
      <c r="F12">
        <v>1</v>
      </c>
      <c r="G12" s="2">
        <v>1.5</v>
      </c>
      <c r="H12" t="s">
        <v>216</v>
      </c>
    </row>
    <row r="13" spans="1:8" x14ac:dyDescent="0.25">
      <c r="A13" t="s">
        <v>176</v>
      </c>
      <c r="B13">
        <v>25</v>
      </c>
      <c r="C13">
        <v>20.648317337036129</v>
      </c>
      <c r="D13">
        <f t="shared" si="0"/>
        <v>4.3516826629638707</v>
      </c>
      <c r="E13" t="str">
        <f t="shared" si="1"/>
        <v/>
      </c>
      <c r="F13">
        <v>1</v>
      </c>
      <c r="G13" s="2">
        <v>1.5</v>
      </c>
      <c r="H13" t="s">
        <v>216</v>
      </c>
    </row>
    <row r="14" spans="1:8" x14ac:dyDescent="0.25">
      <c r="A14" t="s">
        <v>177</v>
      </c>
      <c r="B14">
        <v>34</v>
      </c>
      <c r="C14">
        <v>30.015216827392582</v>
      </c>
      <c r="D14">
        <f t="shared" si="0"/>
        <v>3.9847831726074183</v>
      </c>
      <c r="E14">
        <f t="shared" si="1"/>
        <v>2.4814605712890589</v>
      </c>
      <c r="F14">
        <v>1</v>
      </c>
      <c r="G14" s="2">
        <v>1.5</v>
      </c>
      <c r="H14" t="s">
        <v>217</v>
      </c>
    </row>
    <row r="15" spans="1:8" x14ac:dyDescent="0.25">
      <c r="A15" t="s">
        <v>178</v>
      </c>
      <c r="B15">
        <v>34</v>
      </c>
      <c r="C15">
        <v>32.496677398681641</v>
      </c>
      <c r="D15">
        <f t="shared" si="0"/>
        <v>1.5033226013183594</v>
      </c>
      <c r="E15" t="str">
        <f t="shared" si="1"/>
        <v/>
      </c>
      <c r="F15">
        <v>1</v>
      </c>
      <c r="G15" s="2">
        <v>1.5</v>
      </c>
      <c r="H15" t="s">
        <v>217</v>
      </c>
    </row>
    <row r="16" spans="1:8" x14ac:dyDescent="0.25">
      <c r="A16" t="s">
        <v>179</v>
      </c>
      <c r="B16">
        <v>20</v>
      </c>
      <c r="C16">
        <v>18.559932708740231</v>
      </c>
      <c r="D16">
        <f t="shared" si="0"/>
        <v>1.4400672912597692</v>
      </c>
      <c r="E16">
        <f t="shared" si="1"/>
        <v>0.3891220092773402</v>
      </c>
      <c r="F16">
        <v>2</v>
      </c>
      <c r="G16" s="2">
        <v>1.5</v>
      </c>
      <c r="H16" t="s">
        <v>218</v>
      </c>
    </row>
    <row r="17" spans="1:8" x14ac:dyDescent="0.25">
      <c r="A17" t="s">
        <v>180</v>
      </c>
      <c r="B17">
        <v>20</v>
      </c>
      <c r="C17">
        <v>18.170810699462891</v>
      </c>
      <c r="D17">
        <f t="shared" si="0"/>
        <v>1.8291893005371094</v>
      </c>
      <c r="E17" t="str">
        <f t="shared" si="1"/>
        <v/>
      </c>
      <c r="F17">
        <v>2</v>
      </c>
      <c r="G17" s="2">
        <v>1.5</v>
      </c>
      <c r="H17" t="s">
        <v>218</v>
      </c>
    </row>
    <row r="18" spans="1:8" x14ac:dyDescent="0.25">
      <c r="A18" t="s">
        <v>181</v>
      </c>
      <c r="B18">
        <v>20</v>
      </c>
      <c r="C18">
        <v>22.573486328125</v>
      </c>
      <c r="D18">
        <f t="shared" si="0"/>
        <v>2.573486328125</v>
      </c>
      <c r="E18">
        <f t="shared" si="1"/>
        <v>0.26902389526366832</v>
      </c>
      <c r="F18">
        <v>2</v>
      </c>
      <c r="G18" s="2">
        <v>1.5</v>
      </c>
      <c r="H18" t="s">
        <v>219</v>
      </c>
    </row>
    <row r="19" spans="1:8" x14ac:dyDescent="0.25">
      <c r="A19" t="s">
        <v>182</v>
      </c>
      <c r="B19">
        <v>20</v>
      </c>
      <c r="C19">
        <v>22.304462432861332</v>
      </c>
      <c r="D19">
        <f t="shared" si="0"/>
        <v>2.3044624328613317</v>
      </c>
      <c r="E19" t="str">
        <f t="shared" si="1"/>
        <v/>
      </c>
      <c r="F19">
        <v>2</v>
      </c>
      <c r="G19" s="2">
        <v>1.5</v>
      </c>
      <c r="H19" t="s">
        <v>219</v>
      </c>
    </row>
    <row r="20" spans="1:8" x14ac:dyDescent="0.25">
      <c r="A20" t="s">
        <v>183</v>
      </c>
      <c r="B20">
        <v>21</v>
      </c>
      <c r="C20">
        <v>22.775564193725589</v>
      </c>
      <c r="D20">
        <f t="shared" si="0"/>
        <v>1.7755641937255895</v>
      </c>
      <c r="E20">
        <f t="shared" si="1"/>
        <v>0.83273887634276988</v>
      </c>
      <c r="F20">
        <v>2</v>
      </c>
      <c r="G20" s="2">
        <v>1.5</v>
      </c>
      <c r="H20" t="s">
        <v>220</v>
      </c>
    </row>
    <row r="21" spans="1:8" x14ac:dyDescent="0.25">
      <c r="A21" t="s">
        <v>184</v>
      </c>
      <c r="B21">
        <v>21</v>
      </c>
      <c r="C21">
        <v>23.608303070068359</v>
      </c>
      <c r="D21">
        <f t="shared" si="0"/>
        <v>2.6083030700683594</v>
      </c>
      <c r="E21" t="str">
        <f t="shared" si="1"/>
        <v/>
      </c>
      <c r="F21">
        <v>2</v>
      </c>
      <c r="G21" s="2">
        <v>1.5</v>
      </c>
      <c r="H21" t="s">
        <v>220</v>
      </c>
    </row>
    <row r="22" spans="1:8" x14ac:dyDescent="0.25">
      <c r="A22" t="s">
        <v>185</v>
      </c>
      <c r="B22">
        <v>23</v>
      </c>
      <c r="C22">
        <v>25.552474975585941</v>
      </c>
      <c r="D22">
        <f t="shared" si="0"/>
        <v>2.5524749755859411</v>
      </c>
      <c r="E22">
        <f t="shared" si="1"/>
        <v>4.7655105590820313E-2</v>
      </c>
      <c r="F22">
        <v>2</v>
      </c>
      <c r="G22" s="2">
        <v>1.5</v>
      </c>
      <c r="H22" t="s">
        <v>221</v>
      </c>
    </row>
    <row r="23" spans="1:8" x14ac:dyDescent="0.25">
      <c r="A23" t="s">
        <v>186</v>
      </c>
      <c r="B23">
        <v>23</v>
      </c>
      <c r="C23">
        <v>25.504819869995121</v>
      </c>
      <c r="D23">
        <f t="shared" si="0"/>
        <v>2.5048198699951207</v>
      </c>
      <c r="E23" t="str">
        <f t="shared" si="1"/>
        <v/>
      </c>
      <c r="F23">
        <v>2</v>
      </c>
      <c r="G23" s="2">
        <v>1.5</v>
      </c>
      <c r="H23" t="s">
        <v>221</v>
      </c>
    </row>
    <row r="24" spans="1:8" x14ac:dyDescent="0.25">
      <c r="A24" t="s">
        <v>187</v>
      </c>
      <c r="B24">
        <v>19</v>
      </c>
      <c r="C24">
        <v>24.2662467956543</v>
      </c>
      <c r="D24">
        <f t="shared" si="0"/>
        <v>5.2662467956543004</v>
      </c>
      <c r="E24">
        <f t="shared" si="1"/>
        <v>0.25575256347656961</v>
      </c>
      <c r="F24">
        <v>2</v>
      </c>
      <c r="G24" s="2">
        <v>1.5</v>
      </c>
      <c r="H24" t="s">
        <v>222</v>
      </c>
    </row>
    <row r="25" spans="1:8" x14ac:dyDescent="0.25">
      <c r="A25" t="s">
        <v>188</v>
      </c>
      <c r="B25">
        <v>19</v>
      </c>
      <c r="C25">
        <v>24.010494232177731</v>
      </c>
      <c r="D25">
        <f t="shared" si="0"/>
        <v>5.0104942321777308</v>
      </c>
      <c r="E25" t="str">
        <f t="shared" si="1"/>
        <v/>
      </c>
      <c r="F25">
        <v>2</v>
      </c>
      <c r="G25" s="2">
        <v>1.5</v>
      </c>
      <c r="H25" t="s">
        <v>222</v>
      </c>
    </row>
    <row r="26" spans="1:8" x14ac:dyDescent="0.25">
      <c r="A26" t="s">
        <v>189</v>
      </c>
      <c r="B26">
        <v>20</v>
      </c>
      <c r="C26">
        <v>18.87808799743652</v>
      </c>
      <c r="D26">
        <f t="shared" si="0"/>
        <v>1.1219120025634801</v>
      </c>
      <c r="E26">
        <f t="shared" si="1"/>
        <v>0.75965309143066051</v>
      </c>
      <c r="F26">
        <v>2</v>
      </c>
      <c r="G26" s="2">
        <v>1.5</v>
      </c>
      <c r="H26" t="s">
        <v>223</v>
      </c>
    </row>
    <row r="27" spans="1:8" x14ac:dyDescent="0.25">
      <c r="A27" t="s">
        <v>190</v>
      </c>
      <c r="B27">
        <v>20</v>
      </c>
      <c r="C27">
        <v>18.118434906005859</v>
      </c>
      <c r="D27">
        <f t="shared" si="0"/>
        <v>1.8815650939941406</v>
      </c>
      <c r="E27" t="str">
        <f t="shared" si="1"/>
        <v/>
      </c>
      <c r="F27">
        <v>2</v>
      </c>
      <c r="G27" s="2">
        <v>1.5</v>
      </c>
      <c r="H27" t="s">
        <v>223</v>
      </c>
    </row>
    <row r="28" spans="1:8" x14ac:dyDescent="0.25">
      <c r="A28" t="s">
        <v>191</v>
      </c>
      <c r="B28">
        <v>29</v>
      </c>
      <c r="C28">
        <v>31.734531402587891</v>
      </c>
      <c r="D28">
        <f t="shared" si="0"/>
        <v>2.7345314025878906</v>
      </c>
      <c r="E28">
        <f t="shared" si="1"/>
        <v>0.93109893798828125</v>
      </c>
      <c r="F28">
        <v>2</v>
      </c>
      <c r="G28" s="2">
        <v>1.5</v>
      </c>
      <c r="H28" t="s">
        <v>224</v>
      </c>
    </row>
    <row r="29" spans="1:8" x14ac:dyDescent="0.25">
      <c r="A29" t="s">
        <v>192</v>
      </c>
      <c r="B29">
        <v>29</v>
      </c>
      <c r="C29">
        <v>30.803432464599609</v>
      </c>
      <c r="D29">
        <f t="shared" si="0"/>
        <v>1.8034324645996094</v>
      </c>
      <c r="E29" t="str">
        <f t="shared" si="1"/>
        <v/>
      </c>
      <c r="F29">
        <v>2</v>
      </c>
      <c r="G29" s="2">
        <v>1.5</v>
      </c>
      <c r="H29" t="s">
        <v>224</v>
      </c>
    </row>
    <row r="30" spans="1:8" x14ac:dyDescent="0.25">
      <c r="A30" t="s">
        <v>193</v>
      </c>
      <c r="B30">
        <v>28</v>
      </c>
      <c r="C30">
        <v>25.667697906494141</v>
      </c>
      <c r="D30">
        <f t="shared" si="0"/>
        <v>2.3323020935058594</v>
      </c>
      <c r="E30">
        <f t="shared" si="1"/>
        <v>0.77206611633301137</v>
      </c>
      <c r="F30">
        <v>2</v>
      </c>
      <c r="G30" s="2">
        <v>1.5</v>
      </c>
      <c r="H30" t="s">
        <v>225</v>
      </c>
    </row>
    <row r="31" spans="1:8" x14ac:dyDescent="0.25">
      <c r="A31" t="s">
        <v>194</v>
      </c>
      <c r="B31">
        <v>28</v>
      </c>
      <c r="C31">
        <v>24.895631790161129</v>
      </c>
      <c r="D31">
        <f t="shared" si="0"/>
        <v>3.1043682098388707</v>
      </c>
      <c r="E31" t="str">
        <f t="shared" si="1"/>
        <v/>
      </c>
      <c r="F31">
        <v>2</v>
      </c>
      <c r="G31" s="2">
        <v>1.5</v>
      </c>
      <c r="H31" t="s">
        <v>225</v>
      </c>
    </row>
    <row r="32" spans="1:8" x14ac:dyDescent="0.25">
      <c r="A32" t="s">
        <v>195</v>
      </c>
      <c r="B32">
        <v>20</v>
      </c>
      <c r="C32">
        <v>19.606216430664059</v>
      </c>
      <c r="D32">
        <f t="shared" si="0"/>
        <v>0.39378356933594105</v>
      </c>
      <c r="E32">
        <f t="shared" si="1"/>
        <v>0.23874092102050781</v>
      </c>
      <c r="F32">
        <v>1</v>
      </c>
      <c r="G32" s="2">
        <v>1.5</v>
      </c>
      <c r="H32" t="s">
        <v>226</v>
      </c>
    </row>
    <row r="33" spans="1:8" x14ac:dyDescent="0.25">
      <c r="A33" t="s">
        <v>196</v>
      </c>
      <c r="B33">
        <v>20</v>
      </c>
      <c r="C33">
        <v>19.367475509643551</v>
      </c>
      <c r="D33">
        <f t="shared" si="0"/>
        <v>0.63252449035644887</v>
      </c>
      <c r="E33" t="str">
        <f t="shared" si="1"/>
        <v/>
      </c>
      <c r="F33">
        <v>1</v>
      </c>
      <c r="G33" s="2">
        <v>1.5</v>
      </c>
      <c r="H33" t="s">
        <v>226</v>
      </c>
    </row>
    <row r="34" spans="1:8" x14ac:dyDescent="0.25">
      <c r="A34" t="s">
        <v>197</v>
      </c>
      <c r="B34">
        <v>22</v>
      </c>
      <c r="C34">
        <v>21.916793823242191</v>
      </c>
      <c r="D34">
        <f t="shared" si="0"/>
        <v>8.3206176757808947E-2</v>
      </c>
      <c r="E34">
        <f t="shared" si="1"/>
        <v>1.7682533264160085</v>
      </c>
      <c r="F34">
        <v>1</v>
      </c>
      <c r="G34" s="2">
        <v>1.5</v>
      </c>
      <c r="H34" t="s">
        <v>227</v>
      </c>
    </row>
    <row r="35" spans="1:8" x14ac:dyDescent="0.25">
      <c r="A35" t="s">
        <v>198</v>
      </c>
      <c r="B35">
        <v>22</v>
      </c>
      <c r="C35">
        <v>23.6850471496582</v>
      </c>
      <c r="D35">
        <f t="shared" si="0"/>
        <v>1.6850471496581996</v>
      </c>
      <c r="E35" t="str">
        <f t="shared" si="1"/>
        <v/>
      </c>
      <c r="F35">
        <v>1</v>
      </c>
      <c r="G35" s="2">
        <v>1.5</v>
      </c>
      <c r="H35" t="s">
        <v>227</v>
      </c>
    </row>
    <row r="36" spans="1:8" x14ac:dyDescent="0.25">
      <c r="A36" t="s">
        <v>199</v>
      </c>
      <c r="B36">
        <v>22</v>
      </c>
      <c r="C36">
        <v>20.446229934692379</v>
      </c>
      <c r="D36">
        <f t="shared" si="0"/>
        <v>1.5537700653076207</v>
      </c>
      <c r="E36">
        <f t="shared" si="1"/>
        <v>0.58519935607909801</v>
      </c>
      <c r="F36">
        <v>1</v>
      </c>
      <c r="G36" s="2">
        <v>1.5</v>
      </c>
      <c r="H36" t="s">
        <v>228</v>
      </c>
    </row>
    <row r="37" spans="1:8" x14ac:dyDescent="0.25">
      <c r="A37" t="s">
        <v>200</v>
      </c>
      <c r="B37">
        <v>22</v>
      </c>
      <c r="C37">
        <v>19.861030578613281</v>
      </c>
      <c r="D37">
        <f t="shared" si="0"/>
        <v>2.1389694213867188</v>
      </c>
      <c r="E37" t="str">
        <f t="shared" si="1"/>
        <v/>
      </c>
      <c r="F37">
        <v>1</v>
      </c>
      <c r="G37" s="2">
        <v>1.5</v>
      </c>
      <c r="H37" t="s">
        <v>228</v>
      </c>
    </row>
    <row r="38" spans="1:8" x14ac:dyDescent="0.25">
      <c r="A38" t="s">
        <v>201</v>
      </c>
      <c r="B38">
        <v>20</v>
      </c>
      <c r="C38">
        <v>22.257404327392582</v>
      </c>
      <c r="D38">
        <f t="shared" si="0"/>
        <v>2.2574043273925817</v>
      </c>
      <c r="E38">
        <f t="shared" si="1"/>
        <v>4.388427734375E-2</v>
      </c>
      <c r="F38">
        <v>2</v>
      </c>
      <c r="G38" s="2">
        <v>1.5</v>
      </c>
      <c r="H38" t="s">
        <v>229</v>
      </c>
    </row>
    <row r="39" spans="1:8" x14ac:dyDescent="0.25">
      <c r="A39" t="s">
        <v>202</v>
      </c>
      <c r="B39">
        <v>20</v>
      </c>
      <c r="C39">
        <v>22.301288604736332</v>
      </c>
      <c r="D39">
        <f t="shared" si="0"/>
        <v>2.3012886047363317</v>
      </c>
      <c r="E39" t="str">
        <f t="shared" si="1"/>
        <v/>
      </c>
      <c r="F39">
        <v>2</v>
      </c>
      <c r="G39" s="2">
        <v>1.5</v>
      </c>
      <c r="H39" t="s">
        <v>229</v>
      </c>
    </row>
    <row r="40" spans="1:8" x14ac:dyDescent="0.25">
      <c r="A40" t="s">
        <v>203</v>
      </c>
      <c r="B40">
        <v>26</v>
      </c>
      <c r="C40">
        <v>24.84798622131348</v>
      </c>
      <c r="D40">
        <f t="shared" si="0"/>
        <v>1.1520137786865199</v>
      </c>
      <c r="E40">
        <f t="shared" si="1"/>
        <v>0.38876152038573863</v>
      </c>
      <c r="F40">
        <v>2</v>
      </c>
      <c r="G40" s="2">
        <v>1.5</v>
      </c>
      <c r="H40" t="s">
        <v>230</v>
      </c>
    </row>
    <row r="41" spans="1:8" x14ac:dyDescent="0.25">
      <c r="A41" t="s">
        <v>204</v>
      </c>
      <c r="B41">
        <v>26</v>
      </c>
      <c r="C41">
        <v>25.236747741699219</v>
      </c>
      <c r="D41">
        <f t="shared" si="0"/>
        <v>0.76325225830078125</v>
      </c>
      <c r="E41" t="str">
        <f t="shared" si="1"/>
        <v/>
      </c>
      <c r="F41">
        <v>2</v>
      </c>
      <c r="G41" s="2">
        <v>1.5</v>
      </c>
      <c r="H41" t="s">
        <v>230</v>
      </c>
    </row>
  </sheetData>
  <phoneticPr fontId="2" type="noConversion"/>
  <conditionalFormatting sqref="E2:E41">
    <cfRule type="cellIs" dxfId="6" priority="1" operator="between">
      <formula>1000</formula>
      <formula>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1"/>
  <sheetViews>
    <sheetView topLeftCell="A100" workbookViewId="0">
      <selection activeCell="D122" sqref="D122"/>
    </sheetView>
  </sheetViews>
  <sheetFormatPr defaultRowHeight="15.75" x14ac:dyDescent="0.25"/>
  <cols>
    <col min="1" max="1" width="14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231</v>
      </c>
      <c r="E1" s="1" t="s">
        <v>206</v>
      </c>
      <c r="F1" s="1" t="s">
        <v>232</v>
      </c>
      <c r="G1" s="1" t="s">
        <v>233</v>
      </c>
      <c r="H1" s="1" t="s">
        <v>210</v>
      </c>
    </row>
    <row r="2" spans="1:8" ht="16.5" x14ac:dyDescent="0.25">
      <c r="A2" t="s">
        <v>3</v>
      </c>
      <c r="B2">
        <v>26</v>
      </c>
      <c r="C2">
        <v>22.636713027954102</v>
      </c>
      <c r="D2">
        <f>ABS(C2-B2)</f>
        <v>3.3632869720458984</v>
      </c>
      <c r="E2">
        <f>IF(MOD(ROW(),2)=0,ABS(C2-C3),"")</f>
        <v>0.99950599670410156</v>
      </c>
      <c r="F2" s="3">
        <v>1</v>
      </c>
      <c r="G2" s="2">
        <v>3</v>
      </c>
      <c r="H2">
        <v>101</v>
      </c>
    </row>
    <row r="3" spans="1:8" x14ac:dyDescent="0.25">
      <c r="A3" t="s">
        <v>4</v>
      </c>
      <c r="B3">
        <v>26</v>
      </c>
      <c r="C3">
        <v>21.63720703125</v>
      </c>
      <c r="D3">
        <f t="shared" ref="D3:D66" si="0">ABS(C3-B3)</f>
        <v>4.36279296875</v>
      </c>
      <c r="E3" t="str">
        <f t="shared" ref="E3:E66" si="1">IF(MOD(ROW(),2)=0,ABS(C3-C4),"")</f>
        <v/>
      </c>
      <c r="F3" s="2">
        <v>1</v>
      </c>
      <c r="G3" s="2">
        <v>3</v>
      </c>
      <c r="H3">
        <v>101</v>
      </c>
    </row>
    <row r="4" spans="1:8" x14ac:dyDescent="0.25">
      <c r="A4" t="s">
        <v>5</v>
      </c>
      <c r="B4">
        <v>26</v>
      </c>
      <c r="C4">
        <v>21.675565719604489</v>
      </c>
      <c r="D4">
        <f t="shared" si="0"/>
        <v>4.3244342803955114</v>
      </c>
      <c r="E4">
        <f t="shared" si="1"/>
        <v>0.52245521545410156</v>
      </c>
      <c r="F4" s="2">
        <v>1</v>
      </c>
      <c r="G4" s="2">
        <v>3</v>
      </c>
      <c r="H4">
        <v>102</v>
      </c>
    </row>
    <row r="5" spans="1:8" x14ac:dyDescent="0.25">
      <c r="A5" t="s">
        <v>6</v>
      </c>
      <c r="B5">
        <v>26</v>
      </c>
      <c r="C5">
        <v>22.19802093505859</v>
      </c>
      <c r="D5">
        <f t="shared" si="0"/>
        <v>3.8019790649414098</v>
      </c>
      <c r="E5" t="str">
        <f t="shared" si="1"/>
        <v/>
      </c>
      <c r="F5" s="2">
        <v>1</v>
      </c>
      <c r="G5" s="2">
        <v>3</v>
      </c>
      <c r="H5">
        <v>102</v>
      </c>
    </row>
    <row r="6" spans="1:8" x14ac:dyDescent="0.25">
      <c r="A6" t="s">
        <v>7</v>
      </c>
      <c r="B6">
        <v>26</v>
      </c>
      <c r="C6">
        <v>23.130842208862301</v>
      </c>
      <c r="D6">
        <f t="shared" si="0"/>
        <v>2.8691577911376989</v>
      </c>
      <c r="E6">
        <f t="shared" si="1"/>
        <v>0.49333763122558238</v>
      </c>
      <c r="F6" s="2">
        <v>1</v>
      </c>
      <c r="G6" s="2">
        <v>3</v>
      </c>
      <c r="H6">
        <v>103</v>
      </c>
    </row>
    <row r="7" spans="1:8" x14ac:dyDescent="0.25">
      <c r="A7" t="s">
        <v>8</v>
      </c>
      <c r="B7">
        <v>26</v>
      </c>
      <c r="C7">
        <v>22.637504577636719</v>
      </c>
      <c r="D7">
        <f t="shared" si="0"/>
        <v>3.3624954223632813</v>
      </c>
      <c r="E7" t="str">
        <f t="shared" si="1"/>
        <v/>
      </c>
      <c r="F7" s="2">
        <v>1</v>
      </c>
      <c r="G7" s="2">
        <v>3</v>
      </c>
      <c r="H7">
        <v>103</v>
      </c>
    </row>
    <row r="8" spans="1:8" x14ac:dyDescent="0.25">
      <c r="A8" t="s">
        <v>9</v>
      </c>
      <c r="B8">
        <v>26</v>
      </c>
      <c r="C8">
        <v>24.688861846923832</v>
      </c>
      <c r="D8">
        <f t="shared" si="0"/>
        <v>1.3111381530761683</v>
      </c>
      <c r="E8">
        <f t="shared" si="1"/>
        <v>0.40018653869629262</v>
      </c>
      <c r="F8" s="2">
        <v>1</v>
      </c>
      <c r="G8" s="2">
        <v>3</v>
      </c>
      <c r="H8">
        <v>104</v>
      </c>
    </row>
    <row r="9" spans="1:8" x14ac:dyDescent="0.25">
      <c r="A9" t="s">
        <v>10</v>
      </c>
      <c r="B9">
        <v>26</v>
      </c>
      <c r="C9">
        <v>24.288675308227539</v>
      </c>
      <c r="D9">
        <f t="shared" si="0"/>
        <v>1.7113246917724609</v>
      </c>
      <c r="E9" t="str">
        <f t="shared" si="1"/>
        <v/>
      </c>
      <c r="F9" s="2">
        <v>1</v>
      </c>
      <c r="G9" s="2">
        <v>3</v>
      </c>
      <c r="H9">
        <v>104</v>
      </c>
    </row>
    <row r="10" spans="1:8" x14ac:dyDescent="0.25">
      <c r="A10" t="s">
        <v>11</v>
      </c>
      <c r="B10">
        <v>26</v>
      </c>
      <c r="C10">
        <v>23.097049713134769</v>
      </c>
      <c r="D10">
        <f t="shared" si="0"/>
        <v>2.9029502868652308</v>
      </c>
      <c r="E10">
        <f t="shared" si="1"/>
        <v>0.68667793273925071</v>
      </c>
      <c r="F10" s="2">
        <v>1</v>
      </c>
      <c r="G10" s="2">
        <v>3</v>
      </c>
      <c r="H10">
        <v>105</v>
      </c>
    </row>
    <row r="11" spans="1:8" x14ac:dyDescent="0.25">
      <c r="A11" t="s">
        <v>12</v>
      </c>
      <c r="B11">
        <v>26</v>
      </c>
      <c r="C11">
        <v>23.78372764587402</v>
      </c>
      <c r="D11">
        <f t="shared" si="0"/>
        <v>2.2162723541259801</v>
      </c>
      <c r="E11" t="str">
        <f t="shared" si="1"/>
        <v/>
      </c>
      <c r="F11" s="2">
        <v>1</v>
      </c>
      <c r="G11" s="2">
        <v>3</v>
      </c>
      <c r="H11">
        <v>105</v>
      </c>
    </row>
    <row r="12" spans="1:8" x14ac:dyDescent="0.25">
      <c r="A12" t="s">
        <v>13</v>
      </c>
      <c r="B12">
        <v>26</v>
      </c>
      <c r="C12">
        <v>23.438346862792969</v>
      </c>
      <c r="D12">
        <f t="shared" si="0"/>
        <v>2.5616531372070313</v>
      </c>
      <c r="E12">
        <f t="shared" si="1"/>
        <v>0.82373619079589844</v>
      </c>
      <c r="F12" s="2">
        <v>1</v>
      </c>
      <c r="G12" s="2">
        <v>3</v>
      </c>
      <c r="H12">
        <v>106</v>
      </c>
    </row>
    <row r="13" spans="1:8" x14ac:dyDescent="0.25">
      <c r="A13" t="s">
        <v>14</v>
      </c>
      <c r="B13">
        <v>26</v>
      </c>
      <c r="C13">
        <v>22.61461067199707</v>
      </c>
      <c r="D13">
        <f t="shared" si="0"/>
        <v>3.3853893280029297</v>
      </c>
      <c r="E13" t="str">
        <f t="shared" si="1"/>
        <v/>
      </c>
      <c r="F13" s="2">
        <v>1</v>
      </c>
      <c r="G13" s="2">
        <v>3</v>
      </c>
      <c r="H13">
        <v>106</v>
      </c>
    </row>
    <row r="14" spans="1:8" x14ac:dyDescent="0.25">
      <c r="A14" t="s">
        <v>15</v>
      </c>
      <c r="B14">
        <v>26</v>
      </c>
      <c r="C14">
        <v>22.510488510131839</v>
      </c>
      <c r="D14">
        <f t="shared" si="0"/>
        <v>3.4895114898681605</v>
      </c>
      <c r="E14">
        <f t="shared" si="1"/>
        <v>0.27379417419433949</v>
      </c>
      <c r="F14" s="2">
        <v>1</v>
      </c>
      <c r="G14" s="2">
        <v>3</v>
      </c>
      <c r="H14">
        <v>107</v>
      </c>
    </row>
    <row r="15" spans="1:8" x14ac:dyDescent="0.25">
      <c r="A15" t="s">
        <v>16</v>
      </c>
      <c r="B15">
        <v>26</v>
      </c>
      <c r="C15">
        <v>22.2366943359375</v>
      </c>
      <c r="D15">
        <f t="shared" si="0"/>
        <v>3.7633056640625</v>
      </c>
      <c r="E15" t="str">
        <f t="shared" si="1"/>
        <v/>
      </c>
      <c r="F15" s="2">
        <v>1</v>
      </c>
      <c r="G15" s="2">
        <v>3</v>
      </c>
      <c r="H15">
        <v>107</v>
      </c>
    </row>
    <row r="16" spans="1:8" x14ac:dyDescent="0.25">
      <c r="A16" t="s">
        <v>17</v>
      </c>
      <c r="B16">
        <v>26</v>
      </c>
      <c r="C16">
        <v>23.026157379150391</v>
      </c>
      <c r="D16">
        <f t="shared" si="0"/>
        <v>2.9738426208496094</v>
      </c>
      <c r="E16">
        <f t="shared" si="1"/>
        <v>0.36347579956055043</v>
      </c>
      <c r="F16" s="2">
        <v>1</v>
      </c>
      <c r="G16" s="2">
        <v>3</v>
      </c>
      <c r="H16">
        <v>108</v>
      </c>
    </row>
    <row r="17" spans="1:8" x14ac:dyDescent="0.25">
      <c r="A17" t="s">
        <v>18</v>
      </c>
      <c r="B17">
        <v>26</v>
      </c>
      <c r="C17">
        <v>22.66268157958984</v>
      </c>
      <c r="D17">
        <f t="shared" si="0"/>
        <v>3.3373184204101598</v>
      </c>
      <c r="E17" t="str">
        <f t="shared" si="1"/>
        <v/>
      </c>
      <c r="F17" s="2">
        <v>1</v>
      </c>
      <c r="G17" s="2">
        <v>3</v>
      </c>
      <c r="H17">
        <v>108</v>
      </c>
    </row>
    <row r="18" spans="1:8" x14ac:dyDescent="0.25">
      <c r="A18" t="s">
        <v>19</v>
      </c>
      <c r="B18">
        <v>26</v>
      </c>
      <c r="C18">
        <v>22.464946746826168</v>
      </c>
      <c r="D18">
        <f t="shared" si="0"/>
        <v>3.5350532531738317</v>
      </c>
      <c r="E18">
        <f t="shared" si="1"/>
        <v>0.97200775146483664</v>
      </c>
      <c r="F18" s="2">
        <v>1</v>
      </c>
      <c r="G18" s="2">
        <v>3</v>
      </c>
      <c r="H18">
        <v>109</v>
      </c>
    </row>
    <row r="19" spans="1:8" x14ac:dyDescent="0.25">
      <c r="A19" t="s">
        <v>20</v>
      </c>
      <c r="B19">
        <v>26</v>
      </c>
      <c r="C19">
        <v>21.492938995361332</v>
      </c>
      <c r="D19">
        <f t="shared" si="0"/>
        <v>4.5070610046386683</v>
      </c>
      <c r="E19" t="str">
        <f t="shared" si="1"/>
        <v/>
      </c>
      <c r="F19" s="2">
        <v>1</v>
      </c>
      <c r="G19" s="2">
        <v>3</v>
      </c>
      <c r="H19">
        <v>109</v>
      </c>
    </row>
    <row r="20" spans="1:8" x14ac:dyDescent="0.25">
      <c r="A20" t="s">
        <v>21</v>
      </c>
      <c r="B20">
        <v>26</v>
      </c>
      <c r="C20">
        <v>23.254281997680661</v>
      </c>
      <c r="D20">
        <f t="shared" si="0"/>
        <v>2.7457180023193395</v>
      </c>
      <c r="E20">
        <f t="shared" si="1"/>
        <v>2.3306560516357422</v>
      </c>
      <c r="F20" s="2">
        <v>1</v>
      </c>
      <c r="G20" s="2">
        <v>3</v>
      </c>
      <c r="H20">
        <v>110</v>
      </c>
    </row>
    <row r="21" spans="1:8" x14ac:dyDescent="0.25">
      <c r="A21" t="s">
        <v>22</v>
      </c>
      <c r="B21">
        <v>26</v>
      </c>
      <c r="C21">
        <v>20.923625946044918</v>
      </c>
      <c r="D21">
        <f t="shared" si="0"/>
        <v>5.0763740539550817</v>
      </c>
      <c r="E21" t="str">
        <f t="shared" si="1"/>
        <v/>
      </c>
      <c r="F21" s="2">
        <v>1</v>
      </c>
      <c r="G21" s="2">
        <v>3</v>
      </c>
      <c r="H21">
        <v>110</v>
      </c>
    </row>
    <row r="22" spans="1:8" x14ac:dyDescent="0.25">
      <c r="A22" t="s">
        <v>23</v>
      </c>
      <c r="B22">
        <v>26</v>
      </c>
      <c r="C22">
        <v>23.15120887756348</v>
      </c>
      <c r="D22">
        <f t="shared" si="0"/>
        <v>2.8487911224365199</v>
      </c>
      <c r="E22">
        <f t="shared" si="1"/>
        <v>0.67003059387207031</v>
      </c>
      <c r="F22" s="2">
        <v>1</v>
      </c>
      <c r="G22" s="2">
        <v>3</v>
      </c>
      <c r="H22">
        <v>111</v>
      </c>
    </row>
    <row r="23" spans="1:8" x14ac:dyDescent="0.25">
      <c r="A23" t="s">
        <v>24</v>
      </c>
      <c r="B23">
        <v>26</v>
      </c>
      <c r="C23">
        <v>22.48117828369141</v>
      </c>
      <c r="D23">
        <f t="shared" si="0"/>
        <v>3.5188217163085902</v>
      </c>
      <c r="E23" t="str">
        <f t="shared" si="1"/>
        <v/>
      </c>
      <c r="F23" s="2">
        <v>1</v>
      </c>
      <c r="G23" s="2">
        <v>3</v>
      </c>
      <c r="H23">
        <v>111</v>
      </c>
    </row>
    <row r="24" spans="1:8" x14ac:dyDescent="0.25">
      <c r="A24" t="s">
        <v>25</v>
      </c>
      <c r="B24">
        <v>26</v>
      </c>
      <c r="C24">
        <v>24.06362152099609</v>
      </c>
      <c r="D24">
        <f t="shared" si="0"/>
        <v>1.9363784790039098</v>
      </c>
      <c r="E24">
        <f t="shared" si="1"/>
        <v>1.0827255249023402</v>
      </c>
      <c r="F24" s="2">
        <v>1</v>
      </c>
      <c r="G24" s="2">
        <v>3</v>
      </c>
      <c r="H24">
        <v>112</v>
      </c>
    </row>
    <row r="25" spans="1:8" x14ac:dyDescent="0.25">
      <c r="A25" t="s">
        <v>26</v>
      </c>
      <c r="B25">
        <v>26</v>
      </c>
      <c r="C25">
        <v>22.98089599609375</v>
      </c>
      <c r="D25">
        <f t="shared" si="0"/>
        <v>3.01910400390625</v>
      </c>
      <c r="E25" t="str">
        <f t="shared" si="1"/>
        <v/>
      </c>
      <c r="F25" s="2">
        <v>1</v>
      </c>
      <c r="G25" s="2">
        <v>3</v>
      </c>
      <c r="H25">
        <v>112</v>
      </c>
    </row>
    <row r="26" spans="1:8" x14ac:dyDescent="0.25">
      <c r="A26" t="s">
        <v>27</v>
      </c>
      <c r="B26">
        <v>26</v>
      </c>
      <c r="C26">
        <v>22.600698471069339</v>
      </c>
      <c r="D26">
        <f t="shared" si="0"/>
        <v>3.3993015289306605</v>
      </c>
      <c r="E26">
        <f t="shared" si="1"/>
        <v>0.88958930969237926</v>
      </c>
      <c r="F26" s="2">
        <v>1</v>
      </c>
      <c r="G26" s="2">
        <v>3</v>
      </c>
      <c r="H26">
        <v>113</v>
      </c>
    </row>
    <row r="27" spans="1:8" x14ac:dyDescent="0.25">
      <c r="A27" t="s">
        <v>28</v>
      </c>
      <c r="B27">
        <v>26</v>
      </c>
      <c r="C27">
        <v>23.490287780761719</v>
      </c>
      <c r="D27">
        <f t="shared" si="0"/>
        <v>2.5097122192382813</v>
      </c>
      <c r="E27" t="str">
        <f t="shared" si="1"/>
        <v/>
      </c>
      <c r="F27" s="2">
        <v>1</v>
      </c>
      <c r="G27" s="2">
        <v>3</v>
      </c>
      <c r="H27">
        <v>113</v>
      </c>
    </row>
    <row r="28" spans="1:8" x14ac:dyDescent="0.25">
      <c r="A28" t="s">
        <v>29</v>
      </c>
      <c r="B28">
        <v>26</v>
      </c>
      <c r="C28">
        <v>22.729034423828121</v>
      </c>
      <c r="D28">
        <f t="shared" si="0"/>
        <v>3.2709655761718786</v>
      </c>
      <c r="E28">
        <f t="shared" si="1"/>
        <v>0.54876518249511719</v>
      </c>
      <c r="F28" s="2">
        <v>1</v>
      </c>
      <c r="G28" s="2">
        <v>3</v>
      </c>
      <c r="H28">
        <v>114</v>
      </c>
    </row>
    <row r="29" spans="1:8" x14ac:dyDescent="0.25">
      <c r="A29" t="s">
        <v>30</v>
      </c>
      <c r="B29">
        <v>26</v>
      </c>
      <c r="C29">
        <v>23.277799606323239</v>
      </c>
      <c r="D29">
        <f t="shared" si="0"/>
        <v>2.7222003936767614</v>
      </c>
      <c r="E29" t="str">
        <f t="shared" si="1"/>
        <v/>
      </c>
      <c r="F29" s="2">
        <v>1</v>
      </c>
      <c r="G29" s="2">
        <v>3</v>
      </c>
      <c r="H29">
        <v>114</v>
      </c>
    </row>
    <row r="30" spans="1:8" x14ac:dyDescent="0.25">
      <c r="A30" t="s">
        <v>31</v>
      </c>
      <c r="B30">
        <v>26</v>
      </c>
      <c r="C30">
        <v>23.488273620605469</v>
      </c>
      <c r="D30">
        <f t="shared" si="0"/>
        <v>2.5117263793945313</v>
      </c>
      <c r="E30">
        <f t="shared" si="1"/>
        <v>0.34282684326171875</v>
      </c>
      <c r="F30" s="2">
        <v>1</v>
      </c>
      <c r="G30" s="2">
        <v>3</v>
      </c>
      <c r="H30">
        <v>115</v>
      </c>
    </row>
    <row r="31" spans="1:8" x14ac:dyDescent="0.25">
      <c r="A31" t="s">
        <v>32</v>
      </c>
      <c r="B31">
        <v>26</v>
      </c>
      <c r="C31">
        <v>23.14544677734375</v>
      </c>
      <c r="D31">
        <f t="shared" si="0"/>
        <v>2.85455322265625</v>
      </c>
      <c r="E31" t="str">
        <f t="shared" si="1"/>
        <v/>
      </c>
      <c r="F31" s="2">
        <v>1</v>
      </c>
      <c r="G31" s="2">
        <v>3</v>
      </c>
      <c r="H31">
        <v>115</v>
      </c>
    </row>
    <row r="32" spans="1:8" x14ac:dyDescent="0.25">
      <c r="A32" t="s">
        <v>33</v>
      </c>
      <c r="B32">
        <v>26</v>
      </c>
      <c r="C32">
        <v>23.468112945556641</v>
      </c>
      <c r="D32">
        <f t="shared" si="0"/>
        <v>2.5318870544433594</v>
      </c>
      <c r="E32">
        <f t="shared" si="1"/>
        <v>1.0991592407226598</v>
      </c>
      <c r="F32" s="2">
        <v>1</v>
      </c>
      <c r="G32" s="2">
        <v>3</v>
      </c>
      <c r="H32">
        <v>116</v>
      </c>
    </row>
    <row r="33" spans="1:8" x14ac:dyDescent="0.25">
      <c r="A33" t="s">
        <v>34</v>
      </c>
      <c r="B33">
        <v>26</v>
      </c>
      <c r="C33">
        <v>22.368953704833981</v>
      </c>
      <c r="D33">
        <f t="shared" si="0"/>
        <v>3.6310462951660192</v>
      </c>
      <c r="E33" t="str">
        <f t="shared" si="1"/>
        <v/>
      </c>
      <c r="F33" s="2">
        <v>1</v>
      </c>
      <c r="G33" s="2">
        <v>3</v>
      </c>
      <c r="H33">
        <v>116</v>
      </c>
    </row>
    <row r="34" spans="1:8" x14ac:dyDescent="0.25">
      <c r="A34" t="s">
        <v>35</v>
      </c>
      <c r="B34">
        <v>26</v>
      </c>
      <c r="C34">
        <v>24.143569946289059</v>
      </c>
      <c r="D34">
        <f t="shared" si="0"/>
        <v>1.8564300537109411</v>
      </c>
      <c r="E34">
        <f t="shared" si="1"/>
        <v>1.7869873046875</v>
      </c>
      <c r="F34" s="2">
        <v>1</v>
      </c>
      <c r="G34" s="2">
        <v>3</v>
      </c>
      <c r="H34">
        <v>117</v>
      </c>
    </row>
    <row r="35" spans="1:8" x14ac:dyDescent="0.25">
      <c r="A35" t="s">
        <v>36</v>
      </c>
      <c r="B35">
        <v>26</v>
      </c>
      <c r="C35">
        <v>22.356582641601559</v>
      </c>
      <c r="D35">
        <f t="shared" si="0"/>
        <v>3.6434173583984411</v>
      </c>
      <c r="E35" t="str">
        <f t="shared" si="1"/>
        <v/>
      </c>
      <c r="F35" s="2">
        <v>1</v>
      </c>
      <c r="G35" s="2">
        <v>3</v>
      </c>
      <c r="H35">
        <v>117</v>
      </c>
    </row>
    <row r="36" spans="1:8" x14ac:dyDescent="0.25">
      <c r="A36" t="s">
        <v>37</v>
      </c>
      <c r="B36">
        <v>26</v>
      </c>
      <c r="C36">
        <v>23.38347244262695</v>
      </c>
      <c r="D36">
        <f t="shared" si="0"/>
        <v>2.6165275573730504</v>
      </c>
      <c r="E36">
        <f t="shared" si="1"/>
        <v>0.25990676879882813</v>
      </c>
      <c r="F36" s="2">
        <v>1</v>
      </c>
      <c r="G36" s="2">
        <v>3</v>
      </c>
      <c r="H36">
        <v>118</v>
      </c>
    </row>
    <row r="37" spans="1:8" x14ac:dyDescent="0.25">
      <c r="A37" t="s">
        <v>38</v>
      </c>
      <c r="B37">
        <v>26</v>
      </c>
      <c r="C37">
        <v>23.123565673828121</v>
      </c>
      <c r="D37">
        <f t="shared" si="0"/>
        <v>2.8764343261718786</v>
      </c>
      <c r="E37" t="str">
        <f t="shared" si="1"/>
        <v/>
      </c>
      <c r="F37" s="2">
        <v>1</v>
      </c>
      <c r="G37" s="2">
        <v>3</v>
      </c>
      <c r="H37">
        <v>118</v>
      </c>
    </row>
    <row r="38" spans="1:8" x14ac:dyDescent="0.25">
      <c r="A38" t="s">
        <v>39</v>
      </c>
      <c r="B38">
        <v>26</v>
      </c>
      <c r="C38">
        <v>23.116455078125</v>
      </c>
      <c r="D38">
        <f t="shared" si="0"/>
        <v>2.883544921875</v>
      </c>
      <c r="E38">
        <f t="shared" si="1"/>
        <v>0.28404617309569957</v>
      </c>
      <c r="F38" s="2">
        <v>1</v>
      </c>
      <c r="G38" s="2">
        <v>3</v>
      </c>
      <c r="H38">
        <v>119</v>
      </c>
    </row>
    <row r="39" spans="1:8" x14ac:dyDescent="0.25">
      <c r="A39" t="s">
        <v>40</v>
      </c>
      <c r="B39">
        <v>26</v>
      </c>
      <c r="C39">
        <v>22.8324089050293</v>
      </c>
      <c r="D39">
        <f t="shared" si="0"/>
        <v>3.1675910949706996</v>
      </c>
      <c r="E39" t="str">
        <f t="shared" si="1"/>
        <v/>
      </c>
      <c r="F39" s="2">
        <v>1</v>
      </c>
      <c r="G39" s="2">
        <v>3</v>
      </c>
      <c r="H39">
        <v>119</v>
      </c>
    </row>
    <row r="40" spans="1:8" x14ac:dyDescent="0.25">
      <c r="A40" t="s">
        <v>41</v>
      </c>
      <c r="B40">
        <v>26</v>
      </c>
      <c r="C40">
        <v>23.04036712646484</v>
      </c>
      <c r="D40">
        <f t="shared" si="0"/>
        <v>2.9596328735351598</v>
      </c>
      <c r="E40">
        <f t="shared" si="1"/>
        <v>0.67651557922362926</v>
      </c>
      <c r="F40" s="2">
        <v>1</v>
      </c>
      <c r="G40" s="2">
        <v>3</v>
      </c>
      <c r="H40">
        <v>120</v>
      </c>
    </row>
    <row r="41" spans="1:8" x14ac:dyDescent="0.25">
      <c r="A41" t="s">
        <v>42</v>
      </c>
      <c r="B41">
        <v>26</v>
      </c>
      <c r="C41">
        <v>22.363851547241211</v>
      </c>
      <c r="D41">
        <f t="shared" si="0"/>
        <v>3.6361484527587891</v>
      </c>
      <c r="E41" t="str">
        <f t="shared" si="1"/>
        <v/>
      </c>
      <c r="F41" s="2">
        <v>1</v>
      </c>
      <c r="G41" s="2">
        <v>3</v>
      </c>
      <c r="H41">
        <v>120</v>
      </c>
    </row>
    <row r="42" spans="1:8" x14ac:dyDescent="0.25">
      <c r="A42" t="s">
        <v>43</v>
      </c>
      <c r="B42">
        <v>31</v>
      </c>
      <c r="C42">
        <v>30.340082168579102</v>
      </c>
      <c r="D42">
        <f t="shared" si="0"/>
        <v>0.65991783142089844</v>
      </c>
      <c r="E42">
        <f t="shared" si="1"/>
        <v>3.9328041076660121</v>
      </c>
      <c r="F42" s="2">
        <v>1</v>
      </c>
      <c r="G42" s="2">
        <v>3</v>
      </c>
      <c r="H42">
        <v>201</v>
      </c>
    </row>
    <row r="43" spans="1:8" x14ac:dyDescent="0.25">
      <c r="A43" t="s">
        <v>44</v>
      </c>
      <c r="B43">
        <v>31</v>
      </c>
      <c r="C43">
        <v>26.407278060913089</v>
      </c>
      <c r="D43">
        <f t="shared" si="0"/>
        <v>4.5927219390869105</v>
      </c>
      <c r="E43" t="str">
        <f t="shared" si="1"/>
        <v/>
      </c>
      <c r="F43" s="2">
        <v>1</v>
      </c>
      <c r="G43" s="2">
        <v>3</v>
      </c>
      <c r="H43">
        <v>201</v>
      </c>
    </row>
    <row r="44" spans="1:8" x14ac:dyDescent="0.25">
      <c r="A44" t="s">
        <v>45</v>
      </c>
      <c r="B44">
        <v>31</v>
      </c>
      <c r="C44">
        <v>27.884365081787109</v>
      </c>
      <c r="D44">
        <f t="shared" si="0"/>
        <v>3.1156349182128906</v>
      </c>
      <c r="E44">
        <f t="shared" si="1"/>
        <v>1.6214637756347692</v>
      </c>
      <c r="F44" s="2">
        <v>1</v>
      </c>
      <c r="G44" s="2">
        <v>3</v>
      </c>
      <c r="H44">
        <v>202</v>
      </c>
    </row>
    <row r="45" spans="1:8" x14ac:dyDescent="0.25">
      <c r="A45" t="s">
        <v>46</v>
      </c>
      <c r="B45">
        <v>31</v>
      </c>
      <c r="C45">
        <v>29.505828857421879</v>
      </c>
      <c r="D45">
        <f t="shared" si="0"/>
        <v>1.4941711425781214</v>
      </c>
      <c r="E45" t="str">
        <f t="shared" si="1"/>
        <v/>
      </c>
      <c r="F45" s="2">
        <v>1</v>
      </c>
      <c r="G45" s="2">
        <v>3</v>
      </c>
      <c r="H45">
        <v>202</v>
      </c>
    </row>
    <row r="46" spans="1:8" x14ac:dyDescent="0.25">
      <c r="A46" t="s">
        <v>47</v>
      </c>
      <c r="B46">
        <v>31</v>
      </c>
      <c r="C46">
        <v>29.075962066650391</v>
      </c>
      <c r="D46">
        <f t="shared" si="0"/>
        <v>1.9240379333496094</v>
      </c>
      <c r="E46">
        <f t="shared" si="1"/>
        <v>0.43204689025878906</v>
      </c>
      <c r="F46" s="2">
        <v>1</v>
      </c>
      <c r="G46" s="2">
        <v>3</v>
      </c>
      <c r="H46">
        <v>203</v>
      </c>
    </row>
    <row r="47" spans="1:8" x14ac:dyDescent="0.25">
      <c r="A47" t="s">
        <v>48</v>
      </c>
      <c r="B47">
        <v>31</v>
      </c>
      <c r="C47">
        <v>28.643915176391602</v>
      </c>
      <c r="D47">
        <f t="shared" si="0"/>
        <v>2.3560848236083984</v>
      </c>
      <c r="E47" t="str">
        <f t="shared" si="1"/>
        <v/>
      </c>
      <c r="F47" s="2">
        <v>1</v>
      </c>
      <c r="G47" s="2">
        <v>3</v>
      </c>
      <c r="H47">
        <v>203</v>
      </c>
    </row>
    <row r="48" spans="1:8" x14ac:dyDescent="0.25">
      <c r="A48" t="s">
        <v>49</v>
      </c>
      <c r="B48">
        <v>31</v>
      </c>
      <c r="C48">
        <v>29.072574615478519</v>
      </c>
      <c r="D48">
        <f t="shared" si="0"/>
        <v>1.9274253845214808</v>
      </c>
      <c r="E48">
        <f t="shared" si="1"/>
        <v>0.14722442626953836</v>
      </c>
      <c r="F48" s="2">
        <v>1</v>
      </c>
      <c r="G48" s="2">
        <v>3</v>
      </c>
      <c r="H48">
        <v>204</v>
      </c>
    </row>
    <row r="49" spans="1:8" x14ac:dyDescent="0.25">
      <c r="A49" t="s">
        <v>50</v>
      </c>
      <c r="B49">
        <v>31</v>
      </c>
      <c r="C49">
        <v>28.925350189208981</v>
      </c>
      <c r="D49">
        <f t="shared" si="0"/>
        <v>2.0746498107910192</v>
      </c>
      <c r="E49" t="str">
        <f t="shared" si="1"/>
        <v/>
      </c>
      <c r="F49" s="2">
        <v>1</v>
      </c>
      <c r="G49" s="2">
        <v>3</v>
      </c>
      <c r="H49">
        <v>204</v>
      </c>
    </row>
    <row r="50" spans="1:8" x14ac:dyDescent="0.25">
      <c r="A50" t="s">
        <v>51</v>
      </c>
      <c r="B50">
        <v>31</v>
      </c>
      <c r="C50">
        <v>28.508865356445309</v>
      </c>
      <c r="D50">
        <f t="shared" si="0"/>
        <v>2.4911346435546911</v>
      </c>
      <c r="E50">
        <f t="shared" si="1"/>
        <v>0.46733665466308949</v>
      </c>
      <c r="F50" s="2">
        <v>1</v>
      </c>
      <c r="G50" s="2">
        <v>3</v>
      </c>
      <c r="H50">
        <v>205</v>
      </c>
    </row>
    <row r="51" spans="1:8" x14ac:dyDescent="0.25">
      <c r="A51" t="s">
        <v>52</v>
      </c>
      <c r="B51">
        <v>31</v>
      </c>
      <c r="C51">
        <v>28.976202011108398</v>
      </c>
      <c r="D51">
        <f t="shared" si="0"/>
        <v>2.0237979888916016</v>
      </c>
      <c r="E51" t="str">
        <f t="shared" si="1"/>
        <v/>
      </c>
      <c r="F51" s="2">
        <v>1</v>
      </c>
      <c r="G51" s="2">
        <v>3</v>
      </c>
      <c r="H51">
        <v>205</v>
      </c>
    </row>
    <row r="52" spans="1:8" x14ac:dyDescent="0.25">
      <c r="A52" t="s">
        <v>53</v>
      </c>
      <c r="B52">
        <v>31</v>
      </c>
      <c r="C52">
        <v>27.498565673828121</v>
      </c>
      <c r="D52">
        <f t="shared" si="0"/>
        <v>3.5014343261718786</v>
      </c>
      <c r="E52">
        <f t="shared" si="1"/>
        <v>2.315023422241218</v>
      </c>
      <c r="F52" s="2">
        <v>1</v>
      </c>
      <c r="G52" s="2">
        <v>3</v>
      </c>
      <c r="H52">
        <v>206</v>
      </c>
    </row>
    <row r="53" spans="1:8" x14ac:dyDescent="0.25">
      <c r="A53" t="s">
        <v>54</v>
      </c>
      <c r="B53">
        <v>31</v>
      </c>
      <c r="C53">
        <v>29.813589096069339</v>
      </c>
      <c r="D53">
        <f t="shared" si="0"/>
        <v>1.1864109039306605</v>
      </c>
      <c r="E53" t="str">
        <f t="shared" si="1"/>
        <v/>
      </c>
      <c r="F53" s="2">
        <v>1</v>
      </c>
      <c r="G53" s="2">
        <v>3</v>
      </c>
      <c r="H53">
        <v>206</v>
      </c>
    </row>
    <row r="54" spans="1:8" x14ac:dyDescent="0.25">
      <c r="A54" t="s">
        <v>55</v>
      </c>
      <c r="B54">
        <v>31</v>
      </c>
      <c r="C54">
        <v>28.093917846679691</v>
      </c>
      <c r="D54">
        <f t="shared" si="0"/>
        <v>2.9060821533203089</v>
      </c>
      <c r="E54">
        <f t="shared" si="1"/>
        <v>0.84458923339843039</v>
      </c>
      <c r="F54" s="2">
        <v>1</v>
      </c>
      <c r="G54" s="2">
        <v>3</v>
      </c>
      <c r="H54">
        <v>207</v>
      </c>
    </row>
    <row r="55" spans="1:8" x14ac:dyDescent="0.25">
      <c r="A55" t="s">
        <v>56</v>
      </c>
      <c r="B55">
        <v>31</v>
      </c>
      <c r="C55">
        <v>28.938507080078121</v>
      </c>
      <c r="D55">
        <f t="shared" si="0"/>
        <v>2.0614929199218786</v>
      </c>
      <c r="E55" t="str">
        <f t="shared" si="1"/>
        <v/>
      </c>
      <c r="F55" s="2">
        <v>1</v>
      </c>
      <c r="G55" s="2">
        <v>3</v>
      </c>
      <c r="H55">
        <v>207</v>
      </c>
    </row>
    <row r="56" spans="1:8" x14ac:dyDescent="0.25">
      <c r="A56" t="s">
        <v>57</v>
      </c>
      <c r="B56">
        <v>31</v>
      </c>
      <c r="C56">
        <v>28.710075378417969</v>
      </c>
      <c r="D56">
        <f t="shared" si="0"/>
        <v>2.2899246215820313</v>
      </c>
      <c r="E56">
        <f t="shared" si="1"/>
        <v>0.31160163879394887</v>
      </c>
      <c r="F56" s="2">
        <v>1</v>
      </c>
      <c r="G56" s="2">
        <v>3</v>
      </c>
      <c r="H56">
        <v>208</v>
      </c>
    </row>
    <row r="57" spans="1:8" x14ac:dyDescent="0.25">
      <c r="A57" t="s">
        <v>58</v>
      </c>
      <c r="B57">
        <v>31</v>
      </c>
      <c r="C57">
        <v>28.39847373962402</v>
      </c>
      <c r="D57">
        <f t="shared" si="0"/>
        <v>2.6015262603759801</v>
      </c>
      <c r="E57" t="str">
        <f t="shared" si="1"/>
        <v/>
      </c>
      <c r="F57" s="2">
        <v>1</v>
      </c>
      <c r="G57" s="2">
        <v>3</v>
      </c>
      <c r="H57">
        <v>208</v>
      </c>
    </row>
    <row r="58" spans="1:8" x14ac:dyDescent="0.25">
      <c r="A58" t="s">
        <v>59</v>
      </c>
      <c r="B58">
        <v>31</v>
      </c>
      <c r="C58">
        <v>28.5590705871582</v>
      </c>
      <c r="D58">
        <f t="shared" si="0"/>
        <v>2.4409294128418004</v>
      </c>
      <c r="E58">
        <f t="shared" si="1"/>
        <v>1.2489089965820313</v>
      </c>
      <c r="F58" s="2">
        <v>1</v>
      </c>
      <c r="G58" s="2">
        <v>3</v>
      </c>
      <c r="H58">
        <v>209</v>
      </c>
    </row>
    <row r="59" spans="1:8" x14ac:dyDescent="0.25">
      <c r="A59" t="s">
        <v>60</v>
      </c>
      <c r="B59">
        <v>31</v>
      </c>
      <c r="C59">
        <v>27.310161590576168</v>
      </c>
      <c r="D59">
        <f t="shared" si="0"/>
        <v>3.6898384094238317</v>
      </c>
      <c r="E59" t="str">
        <f t="shared" si="1"/>
        <v/>
      </c>
      <c r="F59" s="2">
        <v>1</v>
      </c>
      <c r="G59" s="2">
        <v>3</v>
      </c>
      <c r="H59">
        <v>209</v>
      </c>
    </row>
    <row r="60" spans="1:8" x14ac:dyDescent="0.25">
      <c r="A60" t="s">
        <v>61</v>
      </c>
      <c r="B60">
        <v>31</v>
      </c>
      <c r="C60">
        <v>28.70916748046875</v>
      </c>
      <c r="D60">
        <f t="shared" si="0"/>
        <v>2.29083251953125</v>
      </c>
      <c r="E60">
        <f t="shared" si="1"/>
        <v>0.75859451293944957</v>
      </c>
      <c r="F60" s="2">
        <v>1</v>
      </c>
      <c r="G60" s="2">
        <v>3</v>
      </c>
      <c r="H60">
        <v>210</v>
      </c>
    </row>
    <row r="61" spans="1:8" x14ac:dyDescent="0.25">
      <c r="A61" t="s">
        <v>62</v>
      </c>
      <c r="B61">
        <v>31</v>
      </c>
      <c r="C61">
        <v>27.9505729675293</v>
      </c>
      <c r="D61">
        <f t="shared" si="0"/>
        <v>3.0494270324706996</v>
      </c>
      <c r="E61" t="str">
        <f t="shared" si="1"/>
        <v/>
      </c>
      <c r="F61" s="2">
        <v>1</v>
      </c>
      <c r="G61" s="2">
        <v>3</v>
      </c>
      <c r="H61">
        <v>210</v>
      </c>
    </row>
    <row r="62" spans="1:8" x14ac:dyDescent="0.25">
      <c r="A62" t="s">
        <v>63</v>
      </c>
      <c r="B62">
        <v>31</v>
      </c>
      <c r="C62">
        <v>28.286899566650391</v>
      </c>
      <c r="D62">
        <f t="shared" si="0"/>
        <v>2.7131004333496094</v>
      </c>
      <c r="E62">
        <f t="shared" si="1"/>
        <v>0.61079406738280895</v>
      </c>
      <c r="F62" s="2">
        <v>1</v>
      </c>
      <c r="G62" s="2">
        <v>3</v>
      </c>
      <c r="H62">
        <v>211</v>
      </c>
    </row>
    <row r="63" spans="1:8" x14ac:dyDescent="0.25">
      <c r="A63" t="s">
        <v>64</v>
      </c>
      <c r="B63">
        <v>31</v>
      </c>
      <c r="C63">
        <v>27.676105499267582</v>
      </c>
      <c r="D63">
        <f t="shared" si="0"/>
        <v>3.3238945007324183</v>
      </c>
      <c r="E63" t="str">
        <f t="shared" si="1"/>
        <v/>
      </c>
      <c r="F63" s="2">
        <v>1</v>
      </c>
      <c r="G63" s="2">
        <v>3</v>
      </c>
      <c r="H63">
        <v>211</v>
      </c>
    </row>
    <row r="64" spans="1:8" x14ac:dyDescent="0.25">
      <c r="A64" t="s">
        <v>65</v>
      </c>
      <c r="B64">
        <v>31</v>
      </c>
      <c r="C64">
        <v>27.969915390014648</v>
      </c>
      <c r="D64">
        <f t="shared" si="0"/>
        <v>3.0300846099853516</v>
      </c>
      <c r="E64">
        <f t="shared" si="1"/>
        <v>1.6532649993896484</v>
      </c>
      <c r="F64" s="2">
        <v>1</v>
      </c>
      <c r="G64" s="2">
        <v>3</v>
      </c>
      <c r="H64">
        <v>212</v>
      </c>
    </row>
    <row r="65" spans="1:8" x14ac:dyDescent="0.25">
      <c r="A65" t="s">
        <v>66</v>
      </c>
      <c r="B65">
        <v>31</v>
      </c>
      <c r="C65">
        <v>26.316650390625</v>
      </c>
      <c r="D65">
        <f t="shared" si="0"/>
        <v>4.683349609375</v>
      </c>
      <c r="E65" t="str">
        <f t="shared" si="1"/>
        <v/>
      </c>
      <c r="F65" s="2">
        <v>1</v>
      </c>
      <c r="G65" s="2">
        <v>3</v>
      </c>
      <c r="H65">
        <v>212</v>
      </c>
    </row>
    <row r="66" spans="1:8" x14ac:dyDescent="0.25">
      <c r="A66" t="s">
        <v>67</v>
      </c>
      <c r="B66">
        <v>31</v>
      </c>
      <c r="C66">
        <v>28.436359405517582</v>
      </c>
      <c r="D66">
        <f t="shared" si="0"/>
        <v>2.5636405944824183</v>
      </c>
      <c r="E66">
        <f t="shared" si="1"/>
        <v>1.5173835754394602</v>
      </c>
      <c r="F66" s="2">
        <v>1</v>
      </c>
      <c r="G66" s="2">
        <v>3</v>
      </c>
      <c r="H66">
        <v>213</v>
      </c>
    </row>
    <row r="67" spans="1:8" x14ac:dyDescent="0.25">
      <c r="A67" t="s">
        <v>68</v>
      </c>
      <c r="B67">
        <v>31</v>
      </c>
      <c r="C67">
        <v>26.918975830078121</v>
      </c>
      <c r="D67">
        <f t="shared" ref="D67:D121" si="2">ABS(C67-B67)</f>
        <v>4.0810241699218786</v>
      </c>
      <c r="E67" t="str">
        <f t="shared" ref="E67:E121" si="3">IF(MOD(ROW(),2)=0,ABS(C67-C68),"")</f>
        <v/>
      </c>
      <c r="F67" s="2">
        <v>1</v>
      </c>
      <c r="G67" s="2">
        <v>3</v>
      </c>
      <c r="H67">
        <v>213</v>
      </c>
    </row>
    <row r="68" spans="1:8" x14ac:dyDescent="0.25">
      <c r="A68" t="s">
        <v>69</v>
      </c>
      <c r="B68">
        <v>31</v>
      </c>
      <c r="C68">
        <v>27.25690841674805</v>
      </c>
      <c r="D68">
        <f t="shared" si="2"/>
        <v>3.7430915832519496</v>
      </c>
      <c r="E68">
        <f t="shared" si="3"/>
        <v>0.25454902648926137</v>
      </c>
      <c r="F68" s="2">
        <v>1</v>
      </c>
      <c r="G68" s="2">
        <v>3</v>
      </c>
      <c r="H68">
        <v>214</v>
      </c>
    </row>
    <row r="69" spans="1:8" x14ac:dyDescent="0.25">
      <c r="A69" t="s">
        <v>70</v>
      </c>
      <c r="B69">
        <v>31</v>
      </c>
      <c r="C69">
        <v>27.002359390258789</v>
      </c>
      <c r="D69">
        <f t="shared" si="2"/>
        <v>3.9976406097412109</v>
      </c>
      <c r="E69" t="str">
        <f t="shared" si="3"/>
        <v/>
      </c>
      <c r="F69" s="2">
        <v>1</v>
      </c>
      <c r="G69" s="2">
        <v>3</v>
      </c>
      <c r="H69">
        <v>214</v>
      </c>
    </row>
    <row r="70" spans="1:8" x14ac:dyDescent="0.25">
      <c r="A70" t="s">
        <v>71</v>
      </c>
      <c r="B70">
        <v>31</v>
      </c>
      <c r="C70">
        <v>28.97402191162109</v>
      </c>
      <c r="D70">
        <f t="shared" si="2"/>
        <v>2.0259780883789098</v>
      </c>
      <c r="E70">
        <f t="shared" si="3"/>
        <v>0.84237480163574929</v>
      </c>
      <c r="F70" s="2">
        <v>1</v>
      </c>
      <c r="G70" s="2">
        <v>3</v>
      </c>
      <c r="H70">
        <v>215</v>
      </c>
    </row>
    <row r="71" spans="1:8" x14ac:dyDescent="0.25">
      <c r="A71" t="s">
        <v>72</v>
      </c>
      <c r="B71">
        <v>31</v>
      </c>
      <c r="C71">
        <v>29.816396713256839</v>
      </c>
      <c r="D71">
        <f t="shared" si="2"/>
        <v>1.1836032867431605</v>
      </c>
      <c r="E71" t="str">
        <f t="shared" si="3"/>
        <v/>
      </c>
      <c r="F71" s="2">
        <v>1</v>
      </c>
      <c r="G71" s="2">
        <v>3</v>
      </c>
      <c r="H71">
        <v>215</v>
      </c>
    </row>
    <row r="72" spans="1:8" x14ac:dyDescent="0.25">
      <c r="A72" t="s">
        <v>73</v>
      </c>
      <c r="B72">
        <v>31</v>
      </c>
      <c r="C72">
        <v>26.314605712890621</v>
      </c>
      <c r="D72">
        <f t="shared" si="2"/>
        <v>4.6853942871093786</v>
      </c>
      <c r="E72">
        <f t="shared" si="3"/>
        <v>0.5365371704101598</v>
      </c>
      <c r="F72" s="2">
        <v>1</v>
      </c>
      <c r="G72" s="2">
        <v>3</v>
      </c>
      <c r="H72">
        <v>216</v>
      </c>
    </row>
    <row r="73" spans="1:8" x14ac:dyDescent="0.25">
      <c r="A73" t="s">
        <v>74</v>
      </c>
      <c r="B73">
        <v>31</v>
      </c>
      <c r="C73">
        <v>26.851142883300781</v>
      </c>
      <c r="D73">
        <f t="shared" si="2"/>
        <v>4.1488571166992188</v>
      </c>
      <c r="E73" t="str">
        <f t="shared" si="3"/>
        <v/>
      </c>
      <c r="F73" s="2">
        <v>1</v>
      </c>
      <c r="G73" s="2">
        <v>3</v>
      </c>
      <c r="H73">
        <v>216</v>
      </c>
    </row>
    <row r="74" spans="1:8" x14ac:dyDescent="0.25">
      <c r="A74" t="s">
        <v>75</v>
      </c>
      <c r="B74">
        <v>31</v>
      </c>
      <c r="C74">
        <v>27.37272834777832</v>
      </c>
      <c r="D74">
        <f t="shared" si="2"/>
        <v>3.6272716522216797</v>
      </c>
      <c r="E74">
        <f t="shared" si="3"/>
        <v>0.45463752746582031</v>
      </c>
      <c r="F74" s="2">
        <v>1</v>
      </c>
      <c r="G74" s="2">
        <v>3</v>
      </c>
      <c r="H74">
        <v>217</v>
      </c>
    </row>
    <row r="75" spans="1:8" x14ac:dyDescent="0.25">
      <c r="A75" t="s">
        <v>76</v>
      </c>
      <c r="B75">
        <v>31</v>
      </c>
      <c r="C75">
        <v>26.9180908203125</v>
      </c>
      <c r="D75">
        <f t="shared" si="2"/>
        <v>4.0819091796875</v>
      </c>
      <c r="E75" t="str">
        <f t="shared" si="3"/>
        <v/>
      </c>
      <c r="F75" s="2">
        <v>1</v>
      </c>
      <c r="G75" s="2">
        <v>3</v>
      </c>
      <c r="H75">
        <v>217</v>
      </c>
    </row>
    <row r="76" spans="1:8" x14ac:dyDescent="0.25">
      <c r="A76" t="s">
        <v>77</v>
      </c>
      <c r="B76">
        <v>31</v>
      </c>
      <c r="C76">
        <v>27.012945175170898</v>
      </c>
      <c r="D76">
        <f t="shared" si="2"/>
        <v>3.9870548248291016</v>
      </c>
      <c r="E76">
        <f t="shared" si="3"/>
        <v>1.8665714263916016</v>
      </c>
      <c r="F76" s="2">
        <v>1</v>
      </c>
      <c r="G76" s="2">
        <v>3</v>
      </c>
      <c r="H76">
        <v>218</v>
      </c>
    </row>
    <row r="77" spans="1:8" x14ac:dyDescent="0.25">
      <c r="A77" t="s">
        <v>78</v>
      </c>
      <c r="B77">
        <v>31</v>
      </c>
      <c r="C77">
        <v>28.8795166015625</v>
      </c>
      <c r="D77">
        <f t="shared" si="2"/>
        <v>2.1204833984375</v>
      </c>
      <c r="E77" t="str">
        <f t="shared" si="3"/>
        <v/>
      </c>
      <c r="F77" s="2">
        <v>1</v>
      </c>
      <c r="G77" s="2">
        <v>3</v>
      </c>
      <c r="H77">
        <v>218</v>
      </c>
    </row>
    <row r="78" spans="1:8" x14ac:dyDescent="0.25">
      <c r="A78" t="s">
        <v>79</v>
      </c>
      <c r="B78">
        <v>31</v>
      </c>
      <c r="C78">
        <v>28.065580368041989</v>
      </c>
      <c r="D78">
        <f t="shared" si="2"/>
        <v>2.9344196319580114</v>
      </c>
      <c r="E78">
        <f t="shared" si="3"/>
        <v>0.38147544860839844</v>
      </c>
      <c r="F78" s="2">
        <v>1</v>
      </c>
      <c r="G78" s="2">
        <v>3</v>
      </c>
      <c r="H78">
        <v>219</v>
      </c>
    </row>
    <row r="79" spans="1:8" x14ac:dyDescent="0.25">
      <c r="A79" t="s">
        <v>80</v>
      </c>
      <c r="B79">
        <v>31</v>
      </c>
      <c r="C79">
        <v>27.68410491943359</v>
      </c>
      <c r="D79">
        <f t="shared" si="2"/>
        <v>3.3158950805664098</v>
      </c>
      <c r="E79" t="str">
        <f t="shared" si="3"/>
        <v/>
      </c>
      <c r="F79" s="2">
        <v>1</v>
      </c>
      <c r="G79" s="2">
        <v>3</v>
      </c>
      <c r="H79">
        <v>219</v>
      </c>
    </row>
    <row r="80" spans="1:8" x14ac:dyDescent="0.25">
      <c r="A80" t="s">
        <v>81</v>
      </c>
      <c r="B80">
        <v>31</v>
      </c>
      <c r="C80">
        <v>29.72911262512207</v>
      </c>
      <c r="D80">
        <f t="shared" si="2"/>
        <v>1.2708873748779297</v>
      </c>
      <c r="E80">
        <f t="shared" si="3"/>
        <v>1.6976337432861293</v>
      </c>
      <c r="F80" s="2">
        <v>1</v>
      </c>
      <c r="G80" s="2">
        <v>3</v>
      </c>
      <c r="H80">
        <v>220</v>
      </c>
    </row>
    <row r="81" spans="1:8" x14ac:dyDescent="0.25">
      <c r="A81" t="s">
        <v>82</v>
      </c>
      <c r="B81">
        <v>31</v>
      </c>
      <c r="C81">
        <v>28.031478881835941</v>
      </c>
      <c r="D81">
        <f t="shared" si="2"/>
        <v>2.9685211181640589</v>
      </c>
      <c r="E81" t="str">
        <f t="shared" si="3"/>
        <v/>
      </c>
      <c r="F81" s="2">
        <v>1</v>
      </c>
      <c r="G81" s="2">
        <v>3</v>
      </c>
      <c r="H81">
        <v>220</v>
      </c>
    </row>
    <row r="82" spans="1:8" x14ac:dyDescent="0.25">
      <c r="A82" t="s">
        <v>83</v>
      </c>
      <c r="B82">
        <v>30</v>
      </c>
      <c r="C82">
        <v>23.122543334960941</v>
      </c>
      <c r="D82">
        <f t="shared" si="2"/>
        <v>6.8774566650390589</v>
      </c>
      <c r="E82">
        <f t="shared" si="3"/>
        <v>0.49725723266600852</v>
      </c>
      <c r="F82" s="2">
        <v>2</v>
      </c>
      <c r="G82" s="2">
        <v>3</v>
      </c>
      <c r="H82">
        <v>301</v>
      </c>
    </row>
    <row r="83" spans="1:8" x14ac:dyDescent="0.25">
      <c r="A83" t="s">
        <v>84</v>
      </c>
      <c r="B83">
        <v>30</v>
      </c>
      <c r="C83">
        <v>23.61980056762695</v>
      </c>
      <c r="D83">
        <f t="shared" si="2"/>
        <v>6.3801994323730504</v>
      </c>
      <c r="E83" t="str">
        <f t="shared" si="3"/>
        <v/>
      </c>
      <c r="F83" s="2">
        <v>2</v>
      </c>
      <c r="G83" s="2">
        <v>3</v>
      </c>
      <c r="H83">
        <v>301</v>
      </c>
    </row>
    <row r="84" spans="1:8" x14ac:dyDescent="0.25">
      <c r="A84" t="s">
        <v>85</v>
      </c>
      <c r="B84">
        <v>30</v>
      </c>
      <c r="C84">
        <v>23.571344375610352</v>
      </c>
      <c r="D84">
        <f t="shared" si="2"/>
        <v>6.4286556243896484</v>
      </c>
      <c r="E84">
        <f t="shared" si="3"/>
        <v>0.60737419128418324</v>
      </c>
      <c r="F84" s="2">
        <v>2</v>
      </c>
      <c r="G84" s="2">
        <v>3</v>
      </c>
      <c r="H84">
        <v>302</v>
      </c>
    </row>
    <row r="85" spans="1:8" x14ac:dyDescent="0.25">
      <c r="A85" t="s">
        <v>86</v>
      </c>
      <c r="B85">
        <v>30</v>
      </c>
      <c r="C85">
        <v>22.963970184326168</v>
      </c>
      <c r="D85">
        <f t="shared" si="2"/>
        <v>7.0360298156738317</v>
      </c>
      <c r="E85" t="str">
        <f t="shared" si="3"/>
        <v/>
      </c>
      <c r="F85" s="2">
        <v>2</v>
      </c>
      <c r="G85" s="2">
        <v>3</v>
      </c>
      <c r="H85">
        <v>302</v>
      </c>
    </row>
    <row r="86" spans="1:8" x14ac:dyDescent="0.25">
      <c r="A86" t="s">
        <v>87</v>
      </c>
      <c r="B86">
        <v>30</v>
      </c>
      <c r="C86">
        <v>23.747282028198239</v>
      </c>
      <c r="D86">
        <f t="shared" si="2"/>
        <v>6.2527179718017614</v>
      </c>
      <c r="E86">
        <f t="shared" si="3"/>
        <v>0.43755531311034801</v>
      </c>
      <c r="F86" s="2">
        <v>2</v>
      </c>
      <c r="G86" s="2">
        <v>3</v>
      </c>
      <c r="H86">
        <v>303</v>
      </c>
    </row>
    <row r="87" spans="1:8" x14ac:dyDescent="0.25">
      <c r="A87" t="s">
        <v>88</v>
      </c>
      <c r="B87">
        <v>30</v>
      </c>
      <c r="C87">
        <v>23.309726715087891</v>
      </c>
      <c r="D87">
        <f t="shared" si="2"/>
        <v>6.6902732849121094</v>
      </c>
      <c r="E87" t="str">
        <f t="shared" si="3"/>
        <v/>
      </c>
      <c r="F87" s="2">
        <v>2</v>
      </c>
      <c r="G87" s="2">
        <v>3</v>
      </c>
      <c r="H87">
        <v>303</v>
      </c>
    </row>
    <row r="88" spans="1:8" x14ac:dyDescent="0.25">
      <c r="A88" t="s">
        <v>89</v>
      </c>
      <c r="B88">
        <v>30</v>
      </c>
      <c r="C88">
        <v>22.229928970336911</v>
      </c>
      <c r="D88">
        <f t="shared" si="2"/>
        <v>7.7700710296630895</v>
      </c>
      <c r="E88">
        <f t="shared" si="3"/>
        <v>1.0110836029052805</v>
      </c>
      <c r="F88" s="2">
        <v>2</v>
      </c>
      <c r="G88" s="2">
        <v>3</v>
      </c>
      <c r="H88">
        <v>304</v>
      </c>
    </row>
    <row r="89" spans="1:8" x14ac:dyDescent="0.25">
      <c r="A89" t="s">
        <v>90</v>
      </c>
      <c r="B89">
        <v>30</v>
      </c>
      <c r="C89">
        <v>23.241012573242191</v>
      </c>
      <c r="D89">
        <f t="shared" si="2"/>
        <v>6.7589874267578089</v>
      </c>
      <c r="E89" t="str">
        <f t="shared" si="3"/>
        <v/>
      </c>
      <c r="F89" s="2">
        <v>2</v>
      </c>
      <c r="G89" s="2">
        <v>3</v>
      </c>
      <c r="H89">
        <v>304</v>
      </c>
    </row>
    <row r="90" spans="1:8" x14ac:dyDescent="0.25">
      <c r="A90" t="s">
        <v>91</v>
      </c>
      <c r="B90">
        <v>30</v>
      </c>
      <c r="C90">
        <v>23.9231071472168</v>
      </c>
      <c r="D90">
        <f t="shared" si="2"/>
        <v>6.0768928527831996</v>
      </c>
      <c r="E90">
        <f t="shared" si="3"/>
        <v>0.35941123962401988</v>
      </c>
      <c r="F90" s="2">
        <v>2</v>
      </c>
      <c r="G90" s="2">
        <v>3</v>
      </c>
      <c r="H90">
        <v>305</v>
      </c>
    </row>
    <row r="91" spans="1:8" x14ac:dyDescent="0.25">
      <c r="A91" t="s">
        <v>92</v>
      </c>
      <c r="B91">
        <v>30</v>
      </c>
      <c r="C91">
        <v>24.28251838684082</v>
      </c>
      <c r="D91">
        <f t="shared" si="2"/>
        <v>5.7174816131591797</v>
      </c>
      <c r="E91" t="str">
        <f t="shared" si="3"/>
        <v/>
      </c>
      <c r="F91" s="2">
        <v>2</v>
      </c>
      <c r="G91" s="2">
        <v>3</v>
      </c>
      <c r="H91">
        <v>305</v>
      </c>
    </row>
    <row r="92" spans="1:8" x14ac:dyDescent="0.25">
      <c r="A92" t="s">
        <v>93</v>
      </c>
      <c r="B92">
        <v>30</v>
      </c>
      <c r="C92">
        <v>23.235805511474609</v>
      </c>
      <c r="D92">
        <f t="shared" si="2"/>
        <v>6.7641944885253906</v>
      </c>
      <c r="E92">
        <f t="shared" si="3"/>
        <v>0.23174667358398082</v>
      </c>
      <c r="F92" s="2">
        <v>2</v>
      </c>
      <c r="G92" s="2">
        <v>3</v>
      </c>
      <c r="H92">
        <v>306</v>
      </c>
    </row>
    <row r="93" spans="1:8" x14ac:dyDescent="0.25">
      <c r="A93" t="s">
        <v>94</v>
      </c>
      <c r="B93">
        <v>30</v>
      </c>
      <c r="C93">
        <v>23.46755218505859</v>
      </c>
      <c r="D93">
        <f t="shared" si="2"/>
        <v>6.5324478149414098</v>
      </c>
      <c r="E93" t="str">
        <f t="shared" si="3"/>
        <v/>
      </c>
      <c r="F93" s="2">
        <v>2</v>
      </c>
      <c r="G93" s="2">
        <v>3</v>
      </c>
      <c r="H93">
        <v>306</v>
      </c>
    </row>
    <row r="94" spans="1:8" x14ac:dyDescent="0.25">
      <c r="A94" t="s">
        <v>95</v>
      </c>
      <c r="B94">
        <v>30</v>
      </c>
      <c r="C94">
        <v>24.5035514831543</v>
      </c>
      <c r="D94">
        <f t="shared" si="2"/>
        <v>5.4964485168456996</v>
      </c>
      <c r="E94">
        <f t="shared" si="3"/>
        <v>1.2204818725586009</v>
      </c>
      <c r="F94" s="2">
        <v>2</v>
      </c>
      <c r="G94" s="2">
        <v>3</v>
      </c>
      <c r="H94">
        <v>307</v>
      </c>
    </row>
    <row r="95" spans="1:8" x14ac:dyDescent="0.25">
      <c r="A95" t="s">
        <v>96</v>
      </c>
      <c r="B95">
        <v>30</v>
      </c>
      <c r="C95">
        <v>23.2830696105957</v>
      </c>
      <c r="D95">
        <f t="shared" si="2"/>
        <v>6.7169303894043004</v>
      </c>
      <c r="E95" t="str">
        <f t="shared" si="3"/>
        <v/>
      </c>
      <c r="F95" s="2">
        <v>2</v>
      </c>
      <c r="G95" s="2">
        <v>3</v>
      </c>
      <c r="H95">
        <v>307</v>
      </c>
    </row>
    <row r="96" spans="1:8" x14ac:dyDescent="0.25">
      <c r="A96" t="s">
        <v>97</v>
      </c>
      <c r="B96">
        <v>30</v>
      </c>
      <c r="C96">
        <v>22.63746452331543</v>
      </c>
      <c r="D96">
        <f t="shared" si="2"/>
        <v>7.3625354766845703</v>
      </c>
      <c r="E96">
        <f t="shared" si="3"/>
        <v>2.3052577972412109</v>
      </c>
      <c r="F96" s="2">
        <v>2</v>
      </c>
      <c r="G96" s="2">
        <v>3</v>
      </c>
      <c r="H96">
        <v>308</v>
      </c>
    </row>
    <row r="97" spans="1:8" x14ac:dyDescent="0.25">
      <c r="A97" t="s">
        <v>98</v>
      </c>
      <c r="B97">
        <v>30</v>
      </c>
      <c r="C97">
        <v>24.942722320556641</v>
      </c>
      <c r="D97">
        <f t="shared" si="2"/>
        <v>5.0572776794433594</v>
      </c>
      <c r="E97" t="str">
        <f t="shared" si="3"/>
        <v/>
      </c>
      <c r="F97" s="2">
        <v>2</v>
      </c>
      <c r="G97" s="2">
        <v>3</v>
      </c>
      <c r="H97">
        <v>308</v>
      </c>
    </row>
    <row r="98" spans="1:8" x14ac:dyDescent="0.25">
      <c r="A98" t="s">
        <v>99</v>
      </c>
      <c r="B98">
        <v>30</v>
      </c>
      <c r="C98">
        <v>23.536991119384769</v>
      </c>
      <c r="D98">
        <f t="shared" si="2"/>
        <v>6.4630088806152308</v>
      </c>
      <c r="E98">
        <f t="shared" si="3"/>
        <v>1.4073772430419922</v>
      </c>
      <c r="F98" s="2">
        <v>2</v>
      </c>
      <c r="G98" s="2">
        <v>3</v>
      </c>
      <c r="H98">
        <v>309</v>
      </c>
    </row>
    <row r="99" spans="1:8" x14ac:dyDescent="0.25">
      <c r="A99" t="s">
        <v>100</v>
      </c>
      <c r="B99">
        <v>30</v>
      </c>
      <c r="C99">
        <v>24.944368362426761</v>
      </c>
      <c r="D99">
        <f t="shared" si="2"/>
        <v>5.0556316375732386</v>
      </c>
      <c r="E99" t="str">
        <f t="shared" si="3"/>
        <v/>
      </c>
      <c r="F99" s="2">
        <v>2</v>
      </c>
      <c r="G99" s="2">
        <v>3</v>
      </c>
      <c r="H99">
        <v>309</v>
      </c>
    </row>
    <row r="100" spans="1:8" x14ac:dyDescent="0.25">
      <c r="A100" t="s">
        <v>101</v>
      </c>
      <c r="B100">
        <v>30</v>
      </c>
      <c r="C100">
        <v>23.630430221557621</v>
      </c>
      <c r="D100">
        <f t="shared" si="2"/>
        <v>6.3695697784423793</v>
      </c>
      <c r="E100">
        <f t="shared" si="3"/>
        <v>0.18712234497069957</v>
      </c>
      <c r="F100" s="2">
        <v>2</v>
      </c>
      <c r="G100" s="2">
        <v>3</v>
      </c>
      <c r="H100">
        <v>310</v>
      </c>
    </row>
    <row r="101" spans="1:8" x14ac:dyDescent="0.25">
      <c r="A101" t="s">
        <v>102</v>
      </c>
      <c r="B101">
        <v>30</v>
      </c>
      <c r="C101">
        <v>23.81755256652832</v>
      </c>
      <c r="D101">
        <f t="shared" si="2"/>
        <v>6.1824474334716797</v>
      </c>
      <c r="E101" t="str">
        <f t="shared" si="3"/>
        <v/>
      </c>
      <c r="F101" s="2">
        <v>2</v>
      </c>
      <c r="G101" s="2">
        <v>3</v>
      </c>
      <c r="H101">
        <v>310</v>
      </c>
    </row>
    <row r="102" spans="1:8" x14ac:dyDescent="0.25">
      <c r="A102" t="s">
        <v>103</v>
      </c>
      <c r="B102">
        <v>30</v>
      </c>
      <c r="C102">
        <v>24.713485717773441</v>
      </c>
      <c r="D102">
        <f t="shared" si="2"/>
        <v>5.2865142822265589</v>
      </c>
      <c r="E102">
        <f t="shared" si="3"/>
        <v>1.6099319458007813</v>
      </c>
      <c r="F102" s="2">
        <v>2</v>
      </c>
      <c r="G102" s="2">
        <v>3</v>
      </c>
      <c r="H102">
        <v>311</v>
      </c>
    </row>
    <row r="103" spans="1:8" x14ac:dyDescent="0.25">
      <c r="A103" t="s">
        <v>104</v>
      </c>
      <c r="B103">
        <v>30</v>
      </c>
      <c r="C103">
        <v>23.10355377197266</v>
      </c>
      <c r="D103">
        <f t="shared" si="2"/>
        <v>6.8964462280273402</v>
      </c>
      <c r="E103" t="str">
        <f t="shared" si="3"/>
        <v/>
      </c>
      <c r="F103" s="2">
        <v>2</v>
      </c>
      <c r="G103" s="2">
        <v>3</v>
      </c>
      <c r="H103">
        <v>311</v>
      </c>
    </row>
    <row r="104" spans="1:8" x14ac:dyDescent="0.25">
      <c r="A104" t="s">
        <v>105</v>
      </c>
      <c r="B104">
        <v>30</v>
      </c>
      <c r="C104">
        <v>24.676338195800781</v>
      </c>
      <c r="D104">
        <f t="shared" si="2"/>
        <v>5.3236618041992188</v>
      </c>
      <c r="E104">
        <f t="shared" si="3"/>
        <v>0.97417640686035156</v>
      </c>
      <c r="F104" s="2">
        <v>2</v>
      </c>
      <c r="G104" s="2">
        <v>3</v>
      </c>
      <c r="H104">
        <v>312</v>
      </c>
    </row>
    <row r="105" spans="1:8" x14ac:dyDescent="0.25">
      <c r="A105" t="s">
        <v>106</v>
      </c>
      <c r="B105">
        <v>30</v>
      </c>
      <c r="C105">
        <v>23.70216178894043</v>
      </c>
      <c r="D105">
        <f t="shared" si="2"/>
        <v>6.2978382110595703</v>
      </c>
      <c r="E105" t="str">
        <f t="shared" si="3"/>
        <v/>
      </c>
      <c r="F105" s="2">
        <v>2</v>
      </c>
      <c r="G105" s="2">
        <v>3</v>
      </c>
      <c r="H105">
        <v>312</v>
      </c>
    </row>
    <row r="106" spans="1:8" x14ac:dyDescent="0.25">
      <c r="A106" t="s">
        <v>107</v>
      </c>
      <c r="B106">
        <v>30</v>
      </c>
      <c r="C106">
        <v>25.106479644775391</v>
      </c>
      <c r="D106">
        <f t="shared" si="2"/>
        <v>4.8935203552246094</v>
      </c>
      <c r="E106">
        <f t="shared" si="3"/>
        <v>2.7409763336181605</v>
      </c>
      <c r="F106" s="2">
        <v>2</v>
      </c>
      <c r="G106" s="2">
        <v>3</v>
      </c>
      <c r="H106">
        <v>313</v>
      </c>
    </row>
    <row r="107" spans="1:8" x14ac:dyDescent="0.25">
      <c r="A107" t="s">
        <v>108</v>
      </c>
      <c r="B107">
        <v>30</v>
      </c>
      <c r="C107">
        <v>22.36550331115723</v>
      </c>
      <c r="D107">
        <f t="shared" si="2"/>
        <v>7.6344966888427699</v>
      </c>
      <c r="E107" t="str">
        <f t="shared" si="3"/>
        <v/>
      </c>
      <c r="F107" s="2">
        <v>2</v>
      </c>
      <c r="G107" s="2">
        <v>3</v>
      </c>
      <c r="H107">
        <v>313</v>
      </c>
    </row>
    <row r="108" spans="1:8" x14ac:dyDescent="0.25">
      <c r="A108" t="s">
        <v>109</v>
      </c>
      <c r="B108">
        <v>30</v>
      </c>
      <c r="C108">
        <v>23.269535064697269</v>
      </c>
      <c r="D108">
        <f t="shared" si="2"/>
        <v>6.7304649353027308</v>
      </c>
      <c r="E108">
        <f t="shared" si="3"/>
        <v>9.4306945800788355E-2</v>
      </c>
      <c r="F108" s="2">
        <v>2</v>
      </c>
      <c r="G108" s="2">
        <v>3</v>
      </c>
      <c r="H108">
        <v>314</v>
      </c>
    </row>
    <row r="109" spans="1:8" x14ac:dyDescent="0.25">
      <c r="A109" t="s">
        <v>110</v>
      </c>
      <c r="B109">
        <v>30</v>
      </c>
      <c r="C109">
        <v>23.175228118896481</v>
      </c>
      <c r="D109">
        <f t="shared" si="2"/>
        <v>6.8247718811035192</v>
      </c>
      <c r="E109" t="str">
        <f t="shared" si="3"/>
        <v/>
      </c>
      <c r="F109" s="2">
        <v>2</v>
      </c>
      <c r="G109" s="2">
        <v>3</v>
      </c>
      <c r="H109">
        <v>314</v>
      </c>
    </row>
    <row r="110" spans="1:8" x14ac:dyDescent="0.25">
      <c r="A110" t="s">
        <v>111</v>
      </c>
      <c r="B110">
        <v>30</v>
      </c>
      <c r="C110">
        <v>25.84938812255859</v>
      </c>
      <c r="D110">
        <f t="shared" si="2"/>
        <v>4.1506118774414098</v>
      </c>
      <c r="E110">
        <f t="shared" si="3"/>
        <v>0.26307296752928977</v>
      </c>
      <c r="F110" s="2">
        <v>2</v>
      </c>
      <c r="G110" s="2">
        <v>3</v>
      </c>
      <c r="H110">
        <v>315</v>
      </c>
    </row>
    <row r="111" spans="1:8" x14ac:dyDescent="0.25">
      <c r="A111" t="s">
        <v>112</v>
      </c>
      <c r="B111">
        <v>30</v>
      </c>
      <c r="C111">
        <v>25.5863151550293</v>
      </c>
      <c r="D111">
        <f t="shared" si="2"/>
        <v>4.4136848449706996</v>
      </c>
      <c r="E111" t="str">
        <f t="shared" si="3"/>
        <v/>
      </c>
      <c r="F111" s="2">
        <v>2</v>
      </c>
      <c r="G111" s="2">
        <v>3</v>
      </c>
      <c r="H111">
        <v>315</v>
      </c>
    </row>
    <row r="112" spans="1:8" x14ac:dyDescent="0.25">
      <c r="A112" t="s">
        <v>113</v>
      </c>
      <c r="B112">
        <v>30</v>
      </c>
      <c r="C112">
        <v>24.191108703613281</v>
      </c>
      <c r="D112">
        <f t="shared" si="2"/>
        <v>5.8088912963867188</v>
      </c>
      <c r="E112">
        <f t="shared" si="3"/>
        <v>0.43160438537598012</v>
      </c>
      <c r="F112" s="2">
        <v>2</v>
      </c>
      <c r="G112" s="2">
        <v>3</v>
      </c>
      <c r="H112">
        <v>316</v>
      </c>
    </row>
    <row r="113" spans="1:8" x14ac:dyDescent="0.25">
      <c r="A113" t="s">
        <v>114</v>
      </c>
      <c r="B113">
        <v>30</v>
      </c>
      <c r="C113">
        <v>23.759504318237301</v>
      </c>
      <c r="D113">
        <f t="shared" si="2"/>
        <v>6.2404956817626989</v>
      </c>
      <c r="E113" t="str">
        <f t="shared" si="3"/>
        <v/>
      </c>
      <c r="F113" s="2">
        <v>2</v>
      </c>
      <c r="G113" s="2">
        <v>3</v>
      </c>
      <c r="H113">
        <v>316</v>
      </c>
    </row>
    <row r="114" spans="1:8" x14ac:dyDescent="0.25">
      <c r="A114" t="s">
        <v>115</v>
      </c>
      <c r="B114">
        <v>30</v>
      </c>
      <c r="C114">
        <v>24.165420532226559</v>
      </c>
      <c r="D114">
        <f t="shared" si="2"/>
        <v>5.8345794677734411</v>
      </c>
      <c r="E114">
        <f t="shared" si="3"/>
        <v>0.31115341186522727</v>
      </c>
      <c r="F114" s="2">
        <v>2</v>
      </c>
      <c r="G114" s="2">
        <v>3</v>
      </c>
      <c r="H114">
        <v>317</v>
      </c>
    </row>
    <row r="115" spans="1:8" x14ac:dyDescent="0.25">
      <c r="A115" t="s">
        <v>116</v>
      </c>
      <c r="B115">
        <v>30</v>
      </c>
      <c r="C115">
        <v>23.854267120361332</v>
      </c>
      <c r="D115">
        <f t="shared" si="2"/>
        <v>6.1457328796386683</v>
      </c>
      <c r="E115" t="str">
        <f t="shared" si="3"/>
        <v/>
      </c>
      <c r="F115" s="2">
        <v>2</v>
      </c>
      <c r="G115" s="2">
        <v>3</v>
      </c>
      <c r="H115">
        <v>317</v>
      </c>
    </row>
    <row r="116" spans="1:8" x14ac:dyDescent="0.25">
      <c r="A116" t="s">
        <v>117</v>
      </c>
      <c r="B116">
        <v>30</v>
      </c>
      <c r="C116">
        <v>23.060134887695309</v>
      </c>
      <c r="D116">
        <f t="shared" si="2"/>
        <v>6.9398651123046911</v>
      </c>
      <c r="E116">
        <f t="shared" si="3"/>
        <v>0.7879180908203125</v>
      </c>
      <c r="F116" s="2">
        <v>2</v>
      </c>
      <c r="G116" s="2">
        <v>3</v>
      </c>
      <c r="H116">
        <v>318</v>
      </c>
    </row>
    <row r="117" spans="1:8" x14ac:dyDescent="0.25">
      <c r="A117" t="s">
        <v>118</v>
      </c>
      <c r="B117">
        <v>30</v>
      </c>
      <c r="C117">
        <v>23.848052978515621</v>
      </c>
      <c r="D117">
        <f t="shared" si="2"/>
        <v>6.1519470214843786</v>
      </c>
      <c r="E117" t="str">
        <f t="shared" si="3"/>
        <v/>
      </c>
      <c r="F117" s="2">
        <v>2</v>
      </c>
      <c r="G117" s="2">
        <v>3</v>
      </c>
      <c r="H117">
        <v>318</v>
      </c>
    </row>
    <row r="118" spans="1:8" x14ac:dyDescent="0.25">
      <c r="A118" t="s">
        <v>119</v>
      </c>
      <c r="B118">
        <v>30</v>
      </c>
      <c r="C118">
        <v>24.39425086975098</v>
      </c>
      <c r="D118">
        <f t="shared" si="2"/>
        <v>5.6057491302490199</v>
      </c>
      <c r="E118">
        <f t="shared" si="3"/>
        <v>1.4285945892333984</v>
      </c>
      <c r="F118" s="2">
        <v>2</v>
      </c>
      <c r="G118" s="2">
        <v>3</v>
      </c>
      <c r="H118">
        <v>319</v>
      </c>
    </row>
    <row r="119" spans="1:8" x14ac:dyDescent="0.25">
      <c r="A119" t="s">
        <v>120</v>
      </c>
      <c r="B119">
        <v>30</v>
      </c>
      <c r="C119">
        <v>22.965656280517582</v>
      </c>
      <c r="D119">
        <f t="shared" si="2"/>
        <v>7.0343437194824183</v>
      </c>
      <c r="E119" t="str">
        <f t="shared" si="3"/>
        <v/>
      </c>
      <c r="F119" s="2">
        <v>2</v>
      </c>
      <c r="G119" s="2">
        <v>3</v>
      </c>
      <c r="H119">
        <v>319</v>
      </c>
    </row>
    <row r="120" spans="1:8" x14ac:dyDescent="0.25">
      <c r="A120" t="s">
        <v>121</v>
      </c>
      <c r="B120">
        <v>30</v>
      </c>
      <c r="C120">
        <v>23.071165084838871</v>
      </c>
      <c r="D120">
        <f t="shared" si="2"/>
        <v>6.9288349151611293</v>
      </c>
      <c r="E120">
        <f t="shared" si="3"/>
        <v>0.75513648986816051</v>
      </c>
      <c r="F120" s="2">
        <v>2</v>
      </c>
      <c r="G120" s="2">
        <v>3</v>
      </c>
      <c r="H120">
        <v>320</v>
      </c>
    </row>
    <row r="121" spans="1:8" x14ac:dyDescent="0.25">
      <c r="A121" t="s">
        <v>122</v>
      </c>
      <c r="B121">
        <v>30</v>
      </c>
      <c r="C121">
        <v>23.826301574707031</v>
      </c>
      <c r="D121">
        <f t="shared" si="2"/>
        <v>6.1736984252929688</v>
      </c>
      <c r="E121" t="str">
        <f t="shared" si="3"/>
        <v/>
      </c>
      <c r="F121" s="2">
        <v>2</v>
      </c>
      <c r="G121" s="2">
        <v>3</v>
      </c>
      <c r="H121">
        <v>320</v>
      </c>
    </row>
  </sheetData>
  <phoneticPr fontId="2" type="noConversion"/>
  <conditionalFormatting sqref="E2:E121">
    <cfRule type="cellIs" dxfId="5" priority="1" operator="between">
      <formula>1000</formula>
      <formula>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topLeftCell="A25" workbookViewId="0">
      <selection activeCell="D44" sqref="D44"/>
    </sheetView>
  </sheetViews>
  <sheetFormatPr defaultRowHeight="15.75" x14ac:dyDescent="0.25"/>
  <cols>
    <col min="1" max="1" width="12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231</v>
      </c>
      <c r="E1" s="1" t="s">
        <v>206</v>
      </c>
      <c r="F1" s="1" t="s">
        <v>232</v>
      </c>
      <c r="G1" s="1" t="s">
        <v>233</v>
      </c>
      <c r="H1" s="1" t="s">
        <v>210</v>
      </c>
    </row>
    <row r="2" spans="1:8" x14ac:dyDescent="0.25">
      <c r="A2" t="s">
        <v>123</v>
      </c>
      <c r="B2">
        <v>28</v>
      </c>
      <c r="C2">
        <v>32.977226257324219</v>
      </c>
      <c r="D2">
        <f>ABS(C2-B2)</f>
        <v>4.9772262573242188</v>
      </c>
      <c r="E2">
        <f>IF(COUNTIF($H:$H,H2)=2,ABS(C2-_xlfn.XLOOKUP(H2,$H:$H,$C:$C,"",0,-1)),"")</f>
        <v>1.7841567993163991</v>
      </c>
      <c r="F2">
        <v>2</v>
      </c>
      <c r="G2">
        <v>3</v>
      </c>
      <c r="H2">
        <v>113</v>
      </c>
    </row>
    <row r="3" spans="1:8" x14ac:dyDescent="0.25">
      <c r="A3" t="s">
        <v>124</v>
      </c>
      <c r="B3">
        <v>28</v>
      </c>
      <c r="C3">
        <v>34.761383056640618</v>
      </c>
      <c r="D3">
        <f t="shared" ref="D3:D43" si="0">ABS(C3-B3)</f>
        <v>6.7613830566406179</v>
      </c>
      <c r="E3">
        <f t="shared" ref="E3:E43" si="1">IF(COUNTIF($H:$H,H3)=2,ABS(C3-_xlfn.XLOOKUP(H3,$H:$H,$C:$C,"",0,-1)),"")</f>
        <v>0</v>
      </c>
      <c r="F3">
        <v>2</v>
      </c>
      <c r="G3">
        <v>3</v>
      </c>
      <c r="H3">
        <v>113</v>
      </c>
    </row>
    <row r="4" spans="1:8" x14ac:dyDescent="0.25">
      <c r="A4" t="s">
        <v>125</v>
      </c>
      <c r="B4">
        <v>30</v>
      </c>
      <c r="C4">
        <v>31.163459777832031</v>
      </c>
      <c r="D4">
        <f t="shared" si="0"/>
        <v>1.1634597778320313</v>
      </c>
      <c r="E4">
        <f t="shared" si="1"/>
        <v>4.0686988830566406</v>
      </c>
      <c r="F4">
        <v>1</v>
      </c>
      <c r="G4">
        <v>3</v>
      </c>
      <c r="H4">
        <v>127</v>
      </c>
    </row>
    <row r="5" spans="1:8" x14ac:dyDescent="0.25">
      <c r="A5" t="s">
        <v>126</v>
      </c>
      <c r="B5">
        <v>30</v>
      </c>
      <c r="C5">
        <v>35.232158660888672</v>
      </c>
      <c r="D5">
        <f t="shared" si="0"/>
        <v>5.2321586608886719</v>
      </c>
      <c r="E5">
        <f t="shared" si="1"/>
        <v>0</v>
      </c>
      <c r="F5">
        <v>1</v>
      </c>
      <c r="G5">
        <v>3</v>
      </c>
      <c r="H5">
        <v>127</v>
      </c>
    </row>
    <row r="6" spans="1:8" x14ac:dyDescent="0.25">
      <c r="A6" t="s">
        <v>127</v>
      </c>
      <c r="B6">
        <v>28</v>
      </c>
      <c r="C6">
        <v>41.716033935546882</v>
      </c>
      <c r="D6">
        <f t="shared" si="0"/>
        <v>13.716033935546882</v>
      </c>
      <c r="E6">
        <f t="shared" si="1"/>
        <v>1.6180992126464915</v>
      </c>
      <c r="F6">
        <v>1</v>
      </c>
      <c r="G6">
        <v>3</v>
      </c>
      <c r="H6">
        <v>142</v>
      </c>
    </row>
    <row r="7" spans="1:8" x14ac:dyDescent="0.25">
      <c r="A7" t="s">
        <v>128</v>
      </c>
      <c r="B7">
        <v>28</v>
      </c>
      <c r="C7">
        <v>40.097934722900391</v>
      </c>
      <c r="D7">
        <f t="shared" si="0"/>
        <v>12.097934722900391</v>
      </c>
      <c r="E7">
        <f t="shared" si="1"/>
        <v>0</v>
      </c>
      <c r="F7">
        <v>1</v>
      </c>
      <c r="G7">
        <v>3</v>
      </c>
      <c r="H7">
        <v>142</v>
      </c>
    </row>
    <row r="8" spans="1:8" x14ac:dyDescent="0.25">
      <c r="A8" t="s">
        <v>129</v>
      </c>
      <c r="B8">
        <v>26</v>
      </c>
      <c r="C8">
        <v>26.06089019775391</v>
      </c>
      <c r="D8">
        <f t="shared" si="0"/>
        <v>6.0890197753909803E-2</v>
      </c>
      <c r="E8">
        <f t="shared" si="1"/>
        <v>0.4585189819335902</v>
      </c>
      <c r="F8">
        <v>2</v>
      </c>
      <c r="G8">
        <v>3</v>
      </c>
      <c r="H8">
        <v>239</v>
      </c>
    </row>
    <row r="9" spans="1:8" x14ac:dyDescent="0.25">
      <c r="A9" t="s">
        <v>130</v>
      </c>
      <c r="B9">
        <v>26</v>
      </c>
      <c r="C9">
        <v>26.5194091796875</v>
      </c>
      <c r="D9">
        <f t="shared" si="0"/>
        <v>0.5194091796875</v>
      </c>
      <c r="E9">
        <f t="shared" si="1"/>
        <v>0</v>
      </c>
      <c r="F9">
        <v>2</v>
      </c>
      <c r="G9">
        <v>3</v>
      </c>
      <c r="H9">
        <v>239</v>
      </c>
    </row>
    <row r="10" spans="1:8" x14ac:dyDescent="0.25">
      <c r="A10" t="s">
        <v>131</v>
      </c>
      <c r="B10">
        <v>22</v>
      </c>
      <c r="C10">
        <v>26.09486198425293</v>
      </c>
      <c r="D10">
        <f t="shared" si="0"/>
        <v>4.0948619842529297</v>
      </c>
      <c r="E10">
        <f t="shared" si="1"/>
        <v>0.25305747985839844</v>
      </c>
      <c r="F10">
        <v>2</v>
      </c>
      <c r="G10">
        <v>3</v>
      </c>
      <c r="H10">
        <v>346</v>
      </c>
    </row>
    <row r="11" spans="1:8" x14ac:dyDescent="0.25">
      <c r="A11" t="s">
        <v>132</v>
      </c>
      <c r="B11">
        <v>22</v>
      </c>
      <c r="C11">
        <v>25.841804504394531</v>
      </c>
      <c r="D11">
        <f t="shared" si="0"/>
        <v>3.8418045043945313</v>
      </c>
      <c r="E11">
        <f t="shared" si="1"/>
        <v>0</v>
      </c>
      <c r="F11">
        <v>2</v>
      </c>
      <c r="G11">
        <v>3</v>
      </c>
      <c r="H11">
        <v>346</v>
      </c>
    </row>
    <row r="12" spans="1:8" x14ac:dyDescent="0.25">
      <c r="A12" t="s">
        <v>133</v>
      </c>
      <c r="B12">
        <v>26</v>
      </c>
      <c r="C12">
        <v>29.801092147827148</v>
      </c>
      <c r="D12">
        <f t="shared" si="0"/>
        <v>3.8010921478271484</v>
      </c>
      <c r="E12">
        <f t="shared" si="1"/>
        <v>0.27305412292480113</v>
      </c>
      <c r="F12">
        <v>1</v>
      </c>
      <c r="G12">
        <v>3</v>
      </c>
      <c r="H12">
        <v>422</v>
      </c>
    </row>
    <row r="13" spans="1:8" x14ac:dyDescent="0.25">
      <c r="A13" t="s">
        <v>134</v>
      </c>
      <c r="B13">
        <v>26</v>
      </c>
      <c r="C13">
        <v>30.07414627075195</v>
      </c>
      <c r="D13">
        <f t="shared" si="0"/>
        <v>4.0741462707519496</v>
      </c>
      <c r="E13">
        <f t="shared" si="1"/>
        <v>0</v>
      </c>
      <c r="F13">
        <v>1</v>
      </c>
      <c r="G13">
        <v>3</v>
      </c>
      <c r="H13">
        <v>422</v>
      </c>
    </row>
    <row r="14" spans="1:8" x14ac:dyDescent="0.25">
      <c r="A14" t="s">
        <v>135</v>
      </c>
      <c r="B14">
        <v>26</v>
      </c>
      <c r="C14">
        <v>29.937253952026371</v>
      </c>
      <c r="D14">
        <f t="shared" si="0"/>
        <v>3.9372539520263707</v>
      </c>
      <c r="E14">
        <f t="shared" si="1"/>
        <v>2.0060253143310476</v>
      </c>
      <c r="F14">
        <v>1</v>
      </c>
      <c r="G14">
        <v>3</v>
      </c>
      <c r="H14">
        <v>492</v>
      </c>
    </row>
    <row r="15" spans="1:8" x14ac:dyDescent="0.25">
      <c r="A15" t="s">
        <v>136</v>
      </c>
      <c r="B15">
        <v>26</v>
      </c>
      <c r="C15">
        <v>31.943279266357418</v>
      </c>
      <c r="D15">
        <f t="shared" si="0"/>
        <v>5.9432792663574183</v>
      </c>
      <c r="E15">
        <f t="shared" si="1"/>
        <v>0</v>
      </c>
      <c r="F15">
        <v>1</v>
      </c>
      <c r="G15">
        <v>3</v>
      </c>
      <c r="H15">
        <v>492</v>
      </c>
    </row>
    <row r="16" spans="1:8" x14ac:dyDescent="0.25">
      <c r="A16" t="s">
        <v>137</v>
      </c>
      <c r="B16">
        <v>23</v>
      </c>
      <c r="C16">
        <v>62.358104705810547</v>
      </c>
      <c r="D16">
        <f t="shared" si="0"/>
        <v>39.358104705810547</v>
      </c>
      <c r="E16">
        <f t="shared" si="1"/>
        <v>0.44292449951171875</v>
      </c>
      <c r="F16">
        <v>2</v>
      </c>
      <c r="G16">
        <v>3</v>
      </c>
      <c r="H16">
        <v>502</v>
      </c>
    </row>
    <row r="17" spans="1:8" x14ac:dyDescent="0.25">
      <c r="A17" t="s">
        <v>138</v>
      </c>
      <c r="B17">
        <v>23</v>
      </c>
      <c r="C17">
        <v>61.915180206298828</v>
      </c>
      <c r="D17">
        <f t="shared" si="0"/>
        <v>38.915180206298828</v>
      </c>
      <c r="E17">
        <f t="shared" si="1"/>
        <v>0</v>
      </c>
      <c r="F17">
        <v>2</v>
      </c>
      <c r="G17">
        <v>3</v>
      </c>
      <c r="H17">
        <v>502</v>
      </c>
    </row>
    <row r="18" spans="1:8" x14ac:dyDescent="0.25">
      <c r="A18" t="s">
        <v>139</v>
      </c>
      <c r="B18">
        <v>42</v>
      </c>
      <c r="C18">
        <v>50.614875793457031</v>
      </c>
      <c r="D18">
        <f t="shared" si="0"/>
        <v>8.6148757934570313</v>
      </c>
      <c r="E18">
        <f t="shared" si="1"/>
        <v>2.2111053466796875</v>
      </c>
      <c r="F18">
        <v>2</v>
      </c>
      <c r="G18">
        <v>3</v>
      </c>
      <c r="H18">
        <v>505</v>
      </c>
    </row>
    <row r="19" spans="1:8" x14ac:dyDescent="0.25">
      <c r="A19" t="s">
        <v>140</v>
      </c>
      <c r="B19">
        <v>42</v>
      </c>
      <c r="C19">
        <v>52.825981140136719</v>
      </c>
      <c r="D19">
        <f t="shared" si="0"/>
        <v>10.825981140136719</v>
      </c>
      <c r="E19">
        <f t="shared" si="1"/>
        <v>0</v>
      </c>
      <c r="F19">
        <v>2</v>
      </c>
      <c r="G19">
        <v>3</v>
      </c>
      <c r="H19">
        <v>505</v>
      </c>
    </row>
    <row r="20" spans="1:8" x14ac:dyDescent="0.25">
      <c r="A20" t="s">
        <v>141</v>
      </c>
      <c r="B20">
        <v>32</v>
      </c>
      <c r="C20">
        <v>33.525829315185547</v>
      </c>
      <c r="D20">
        <f t="shared" si="0"/>
        <v>1.5258293151855469</v>
      </c>
      <c r="E20">
        <f t="shared" si="1"/>
        <v>1.1511192321777344</v>
      </c>
      <c r="F20">
        <v>1</v>
      </c>
      <c r="G20">
        <v>3</v>
      </c>
      <c r="H20">
        <v>656</v>
      </c>
    </row>
    <row r="21" spans="1:8" x14ac:dyDescent="0.25">
      <c r="A21" t="s">
        <v>142</v>
      </c>
      <c r="B21">
        <v>32</v>
      </c>
      <c r="C21">
        <v>32.374710083007813</v>
      </c>
      <c r="D21">
        <f t="shared" si="0"/>
        <v>0.3747100830078125</v>
      </c>
      <c r="E21">
        <f t="shared" si="1"/>
        <v>0</v>
      </c>
      <c r="F21">
        <v>1</v>
      </c>
      <c r="G21">
        <v>3</v>
      </c>
      <c r="H21">
        <v>656</v>
      </c>
    </row>
    <row r="22" spans="1:8" x14ac:dyDescent="0.25">
      <c r="A22" t="s">
        <v>143</v>
      </c>
      <c r="B22">
        <v>30</v>
      </c>
      <c r="C22">
        <v>27.368045806884769</v>
      </c>
      <c r="D22">
        <f t="shared" si="0"/>
        <v>2.6319541931152308</v>
      </c>
      <c r="E22">
        <f t="shared" si="1"/>
        <v>0.10138320922851918</v>
      </c>
      <c r="F22">
        <v>2</v>
      </c>
      <c r="G22">
        <v>3</v>
      </c>
      <c r="H22">
        <v>679</v>
      </c>
    </row>
    <row r="23" spans="1:8" x14ac:dyDescent="0.25">
      <c r="A23" t="s">
        <v>144</v>
      </c>
      <c r="B23">
        <v>30</v>
      </c>
      <c r="C23">
        <v>27.26666259765625</v>
      </c>
      <c r="D23">
        <f t="shared" si="0"/>
        <v>2.73333740234375</v>
      </c>
      <c r="E23">
        <f t="shared" si="1"/>
        <v>0</v>
      </c>
      <c r="F23">
        <v>2</v>
      </c>
      <c r="G23">
        <v>3</v>
      </c>
      <c r="H23">
        <v>679</v>
      </c>
    </row>
    <row r="24" spans="1:8" x14ac:dyDescent="0.25">
      <c r="A24" t="s">
        <v>145</v>
      </c>
      <c r="B24">
        <v>49</v>
      </c>
      <c r="C24">
        <v>34.390754699707031</v>
      </c>
      <c r="D24">
        <f t="shared" si="0"/>
        <v>14.609245300292969</v>
      </c>
      <c r="E24">
        <f t="shared" si="1"/>
        <v>2.9761314392089915</v>
      </c>
      <c r="F24">
        <v>2</v>
      </c>
      <c r="G24">
        <v>3</v>
      </c>
      <c r="H24">
        <v>742</v>
      </c>
    </row>
    <row r="25" spans="1:8" x14ac:dyDescent="0.25">
      <c r="A25" t="s">
        <v>146</v>
      </c>
      <c r="B25">
        <v>49</v>
      </c>
      <c r="C25">
        <v>37.366886138916023</v>
      </c>
      <c r="D25">
        <f t="shared" si="0"/>
        <v>11.633113861083977</v>
      </c>
      <c r="E25">
        <f t="shared" si="1"/>
        <v>0</v>
      </c>
      <c r="F25">
        <v>2</v>
      </c>
      <c r="G25">
        <v>3</v>
      </c>
      <c r="H25">
        <v>742</v>
      </c>
    </row>
    <row r="26" spans="1:8" x14ac:dyDescent="0.25">
      <c r="A26" t="s">
        <v>147</v>
      </c>
      <c r="B26">
        <v>29</v>
      </c>
      <c r="C26">
        <v>30.3631477355957</v>
      </c>
      <c r="D26">
        <f t="shared" si="0"/>
        <v>1.3631477355956996</v>
      </c>
      <c r="E26">
        <f t="shared" si="1"/>
        <v>2.2235946655273402</v>
      </c>
      <c r="F26">
        <v>2</v>
      </c>
      <c r="G26">
        <v>3</v>
      </c>
      <c r="H26">
        <v>800</v>
      </c>
    </row>
    <row r="27" spans="1:8" x14ac:dyDescent="0.25">
      <c r="A27" t="s">
        <v>148</v>
      </c>
      <c r="B27">
        <v>29</v>
      </c>
      <c r="C27">
        <v>28.139553070068359</v>
      </c>
      <c r="D27">
        <f t="shared" si="0"/>
        <v>0.86044692993164063</v>
      </c>
      <c r="E27">
        <f t="shared" si="1"/>
        <v>0</v>
      </c>
      <c r="F27">
        <v>2</v>
      </c>
      <c r="G27">
        <v>3</v>
      </c>
      <c r="H27">
        <v>800</v>
      </c>
    </row>
    <row r="28" spans="1:8" x14ac:dyDescent="0.25">
      <c r="A28" t="s">
        <v>149</v>
      </c>
      <c r="B28">
        <v>34</v>
      </c>
      <c r="C28">
        <v>33.305801391601563</v>
      </c>
      <c r="D28">
        <f t="shared" si="0"/>
        <v>0.6941986083984375</v>
      </c>
      <c r="E28">
        <f t="shared" si="1"/>
        <v>1.4204597473144531</v>
      </c>
      <c r="F28">
        <v>1</v>
      </c>
      <c r="G28">
        <v>3</v>
      </c>
      <c r="H28">
        <v>814</v>
      </c>
    </row>
    <row r="29" spans="1:8" x14ac:dyDescent="0.25">
      <c r="A29" t="s">
        <v>150</v>
      </c>
      <c r="B29">
        <v>34</v>
      </c>
      <c r="C29">
        <v>31.885341644287109</v>
      </c>
      <c r="D29">
        <f t="shared" si="0"/>
        <v>2.1146583557128906</v>
      </c>
      <c r="E29">
        <f t="shared" si="1"/>
        <v>0</v>
      </c>
      <c r="F29">
        <v>1</v>
      </c>
      <c r="G29">
        <v>3</v>
      </c>
      <c r="H29">
        <v>814</v>
      </c>
    </row>
    <row r="30" spans="1:8" x14ac:dyDescent="0.25">
      <c r="A30" t="s">
        <v>151</v>
      </c>
      <c r="B30">
        <v>38</v>
      </c>
      <c r="C30">
        <v>34.732383728027337</v>
      </c>
      <c r="D30">
        <f t="shared" si="0"/>
        <v>3.2676162719726634</v>
      </c>
      <c r="E30">
        <f t="shared" si="1"/>
        <v>2.172470092774148E-2</v>
      </c>
      <c r="F30">
        <v>2</v>
      </c>
      <c r="G30">
        <v>3</v>
      </c>
      <c r="H30">
        <v>815</v>
      </c>
    </row>
    <row r="31" spans="1:8" x14ac:dyDescent="0.25">
      <c r="A31" t="s">
        <v>152</v>
      </c>
      <c r="B31">
        <v>38</v>
      </c>
      <c r="C31">
        <v>34.754108428955078</v>
      </c>
      <c r="D31">
        <f t="shared" si="0"/>
        <v>3.2458915710449219</v>
      </c>
      <c r="E31">
        <f t="shared" si="1"/>
        <v>0</v>
      </c>
      <c r="F31">
        <v>2</v>
      </c>
      <c r="G31">
        <v>3</v>
      </c>
      <c r="H31">
        <v>815</v>
      </c>
    </row>
    <row r="32" spans="1:8" x14ac:dyDescent="0.25">
      <c r="A32" t="s">
        <v>153</v>
      </c>
      <c r="B32">
        <v>25</v>
      </c>
      <c r="C32">
        <v>24.85443115234375</v>
      </c>
      <c r="D32">
        <f t="shared" si="0"/>
        <v>0.14556884765625</v>
      </c>
      <c r="E32">
        <f t="shared" si="1"/>
        <v>1.6559352874755895</v>
      </c>
      <c r="F32">
        <v>1</v>
      </c>
      <c r="G32">
        <v>3</v>
      </c>
      <c r="H32">
        <v>849</v>
      </c>
    </row>
    <row r="33" spans="1:8" x14ac:dyDescent="0.25">
      <c r="A33" t="s">
        <v>154</v>
      </c>
      <c r="B33">
        <v>25</v>
      </c>
      <c r="C33">
        <v>26.510366439819339</v>
      </c>
      <c r="D33">
        <f t="shared" si="0"/>
        <v>1.5103664398193395</v>
      </c>
      <c r="E33">
        <f t="shared" si="1"/>
        <v>0</v>
      </c>
      <c r="F33">
        <v>1</v>
      </c>
      <c r="G33">
        <v>3</v>
      </c>
      <c r="H33">
        <v>849</v>
      </c>
    </row>
    <row r="34" spans="1:8" x14ac:dyDescent="0.25">
      <c r="A34" t="s">
        <v>155</v>
      </c>
      <c r="B34">
        <v>25</v>
      </c>
      <c r="C34">
        <v>29.988430023193359</v>
      </c>
      <c r="D34">
        <f t="shared" si="0"/>
        <v>4.9884300231933594</v>
      </c>
      <c r="E34">
        <f t="shared" si="1"/>
        <v>1.7693405151367188</v>
      </c>
      <c r="F34">
        <v>1</v>
      </c>
      <c r="G34">
        <v>3</v>
      </c>
      <c r="H34">
        <v>906</v>
      </c>
    </row>
    <row r="35" spans="1:8" x14ac:dyDescent="0.25">
      <c r="A35" t="s">
        <v>156</v>
      </c>
      <c r="B35">
        <v>25</v>
      </c>
      <c r="C35">
        <v>28.219089508056641</v>
      </c>
      <c r="D35">
        <f t="shared" si="0"/>
        <v>3.2190895080566406</v>
      </c>
      <c r="E35">
        <f t="shared" si="1"/>
        <v>0</v>
      </c>
      <c r="F35">
        <v>1</v>
      </c>
      <c r="G35">
        <v>3</v>
      </c>
      <c r="H35">
        <v>906</v>
      </c>
    </row>
    <row r="36" spans="1:8" x14ac:dyDescent="0.25">
      <c r="A36" t="s">
        <v>157</v>
      </c>
      <c r="B36">
        <v>25</v>
      </c>
      <c r="C36">
        <v>28.82076263427734</v>
      </c>
      <c r="D36">
        <f t="shared" si="0"/>
        <v>3.8207626342773402</v>
      </c>
      <c r="E36">
        <f t="shared" si="1"/>
        <v>0.20091247558593039</v>
      </c>
      <c r="F36">
        <v>1</v>
      </c>
      <c r="G36">
        <v>3</v>
      </c>
      <c r="H36">
        <v>913</v>
      </c>
    </row>
    <row r="37" spans="1:8" x14ac:dyDescent="0.25">
      <c r="A37" t="s">
        <v>158</v>
      </c>
      <c r="B37">
        <v>25</v>
      </c>
      <c r="C37">
        <v>28.61985015869141</v>
      </c>
      <c r="D37">
        <f t="shared" si="0"/>
        <v>3.6198501586914098</v>
      </c>
      <c r="E37">
        <f t="shared" si="1"/>
        <v>0</v>
      </c>
      <c r="F37">
        <v>1</v>
      </c>
      <c r="G37">
        <v>3</v>
      </c>
      <c r="H37">
        <v>913</v>
      </c>
    </row>
    <row r="38" spans="1:8" x14ac:dyDescent="0.25">
      <c r="A38" t="s">
        <v>159</v>
      </c>
      <c r="B38">
        <v>30</v>
      </c>
      <c r="C38">
        <v>32.368087768554688</v>
      </c>
      <c r="D38">
        <f t="shared" si="0"/>
        <v>2.3680877685546875</v>
      </c>
      <c r="E38">
        <f t="shared" si="1"/>
        <v>1.6919593811035192</v>
      </c>
      <c r="F38">
        <v>1</v>
      </c>
      <c r="G38">
        <v>3</v>
      </c>
      <c r="H38">
        <v>916</v>
      </c>
    </row>
    <row r="39" spans="1:8" x14ac:dyDescent="0.25">
      <c r="A39" t="s">
        <v>160</v>
      </c>
      <c r="B39">
        <v>30</v>
      </c>
      <c r="C39">
        <v>30.676128387451168</v>
      </c>
      <c r="D39">
        <f t="shared" si="0"/>
        <v>0.67612838745116832</v>
      </c>
      <c r="E39">
        <f t="shared" si="1"/>
        <v>0</v>
      </c>
      <c r="F39">
        <v>1</v>
      </c>
      <c r="G39">
        <v>3</v>
      </c>
      <c r="H39">
        <v>916</v>
      </c>
    </row>
    <row r="40" spans="1:8" x14ac:dyDescent="0.25">
      <c r="A40" t="s">
        <v>161</v>
      </c>
      <c r="B40">
        <v>61</v>
      </c>
      <c r="C40">
        <v>61.106681823730469</v>
      </c>
      <c r="D40">
        <f t="shared" si="0"/>
        <v>0.10668182373046875</v>
      </c>
      <c r="E40">
        <f t="shared" si="1"/>
        <v>1.2553367614746094</v>
      </c>
      <c r="F40">
        <v>2</v>
      </c>
      <c r="G40">
        <v>3</v>
      </c>
      <c r="H40">
        <v>934</v>
      </c>
    </row>
    <row r="41" spans="1:8" x14ac:dyDescent="0.25">
      <c r="A41" t="s">
        <v>162</v>
      </c>
      <c r="B41">
        <v>61</v>
      </c>
      <c r="C41">
        <v>62.362018585205078</v>
      </c>
      <c r="D41">
        <f t="shared" si="0"/>
        <v>1.3620185852050781</v>
      </c>
      <c r="E41">
        <f t="shared" si="1"/>
        <v>0</v>
      </c>
      <c r="F41">
        <v>2</v>
      </c>
      <c r="G41">
        <v>3</v>
      </c>
      <c r="H41">
        <v>934</v>
      </c>
    </row>
    <row r="42" spans="1:8" x14ac:dyDescent="0.25">
      <c r="A42" t="s">
        <v>163</v>
      </c>
      <c r="B42">
        <v>38</v>
      </c>
      <c r="C42">
        <v>42.031494140625</v>
      </c>
      <c r="D42">
        <f t="shared" si="0"/>
        <v>4.031494140625</v>
      </c>
      <c r="E42">
        <f t="shared" si="1"/>
        <v>0.84981155395507813</v>
      </c>
      <c r="F42">
        <v>1</v>
      </c>
      <c r="G42">
        <v>3</v>
      </c>
      <c r="H42">
        <v>959</v>
      </c>
    </row>
    <row r="43" spans="1:8" x14ac:dyDescent="0.25">
      <c r="A43" t="s">
        <v>164</v>
      </c>
      <c r="B43">
        <v>38</v>
      </c>
      <c r="C43">
        <v>41.181682586669922</v>
      </c>
      <c r="D43">
        <f t="shared" si="0"/>
        <v>3.1816825866699219</v>
      </c>
      <c r="E43">
        <f t="shared" si="1"/>
        <v>0</v>
      </c>
      <c r="F43">
        <v>1</v>
      </c>
      <c r="G43">
        <v>3</v>
      </c>
      <c r="H43">
        <v>959</v>
      </c>
    </row>
  </sheetData>
  <phoneticPr fontId="2" type="noConversion"/>
  <conditionalFormatting sqref="E2:E43">
    <cfRule type="cellIs" dxfId="4" priority="1" operator="between">
      <formula>1000</formula>
      <formula>6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topLeftCell="A22" workbookViewId="0">
      <selection activeCell="D42" sqref="D42"/>
    </sheetView>
  </sheetViews>
  <sheetFormatPr defaultRowHeight="15.75" x14ac:dyDescent="0.25"/>
  <cols>
    <col min="1" max="1" width="17.7109375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231</v>
      </c>
      <c r="E1" s="1" t="s">
        <v>206</v>
      </c>
      <c r="F1" s="1" t="s">
        <v>208</v>
      </c>
      <c r="G1" s="1" t="s">
        <v>209</v>
      </c>
      <c r="H1" s="1" t="s">
        <v>210</v>
      </c>
    </row>
    <row r="2" spans="1:8" x14ac:dyDescent="0.25">
      <c r="A2" t="s">
        <v>165</v>
      </c>
      <c r="B2">
        <v>20</v>
      </c>
      <c r="C2">
        <v>19.918552398681641</v>
      </c>
      <c r="D2">
        <f>ABS(C2-B2)</f>
        <v>8.1447601318359375E-2</v>
      </c>
      <c r="E2">
        <f t="shared" ref="E2:E41" si="0">IF(RIGHT(A2,3)="MR1",ABS(C2-_xlfn.XLOOKUP(SUBSTITUTE(A2,"_MR1","_MR2"),$A:$A,$C:$C)),"")</f>
        <v>0.33265304565430043</v>
      </c>
      <c r="F2">
        <v>2</v>
      </c>
      <c r="G2" s="2">
        <v>1.5</v>
      </c>
      <c r="H2" t="s">
        <v>211</v>
      </c>
    </row>
    <row r="3" spans="1:8" x14ac:dyDescent="0.25">
      <c r="A3" t="s">
        <v>166</v>
      </c>
      <c r="B3">
        <v>20</v>
      </c>
      <c r="C3">
        <v>20.251205444335941</v>
      </c>
      <c r="D3">
        <f t="shared" ref="D3:D41" si="1">ABS(C3-B3)</f>
        <v>0.25120544433594105</v>
      </c>
      <c r="E3" t="str">
        <f t="shared" si="0"/>
        <v/>
      </c>
      <c r="F3">
        <v>2</v>
      </c>
      <c r="G3" s="2">
        <v>1.5</v>
      </c>
      <c r="H3" t="s">
        <v>211</v>
      </c>
    </row>
    <row r="4" spans="1:8" x14ac:dyDescent="0.25">
      <c r="A4" t="s">
        <v>167</v>
      </c>
      <c r="B4">
        <v>25</v>
      </c>
      <c r="C4">
        <v>25.032741546630859</v>
      </c>
      <c r="D4">
        <f t="shared" si="1"/>
        <v>3.2741546630859375E-2</v>
      </c>
      <c r="E4">
        <f t="shared" si="0"/>
        <v>0.89712142944335938</v>
      </c>
      <c r="F4">
        <v>2</v>
      </c>
      <c r="G4" s="2">
        <v>1.5</v>
      </c>
      <c r="H4" t="s">
        <v>212</v>
      </c>
    </row>
    <row r="5" spans="1:8" x14ac:dyDescent="0.25">
      <c r="A5" t="s">
        <v>168</v>
      </c>
      <c r="B5">
        <v>25</v>
      </c>
      <c r="C5">
        <v>25.929862976074219</v>
      </c>
      <c r="D5">
        <f t="shared" si="1"/>
        <v>0.92986297607421875</v>
      </c>
      <c r="E5" t="str">
        <f t="shared" si="0"/>
        <v/>
      </c>
      <c r="F5">
        <v>2</v>
      </c>
      <c r="G5" s="2">
        <v>1.5</v>
      </c>
      <c r="H5" t="s">
        <v>212</v>
      </c>
    </row>
    <row r="6" spans="1:8" x14ac:dyDescent="0.25">
      <c r="A6" t="s">
        <v>169</v>
      </c>
      <c r="B6">
        <v>22</v>
      </c>
      <c r="C6">
        <v>24.411373138427731</v>
      </c>
      <c r="D6">
        <f t="shared" si="1"/>
        <v>2.4113731384277308</v>
      </c>
      <c r="E6">
        <f t="shared" si="0"/>
        <v>0.35522079467773082</v>
      </c>
      <c r="F6">
        <v>1</v>
      </c>
      <c r="G6" s="2">
        <v>1.5</v>
      </c>
      <c r="H6" t="s">
        <v>213</v>
      </c>
    </row>
    <row r="7" spans="1:8" x14ac:dyDescent="0.25">
      <c r="A7" t="s">
        <v>170</v>
      </c>
      <c r="B7">
        <v>22</v>
      </c>
      <c r="C7">
        <v>24.05615234375</v>
      </c>
      <c r="D7">
        <f t="shared" si="1"/>
        <v>2.05615234375</v>
      </c>
      <c r="E7" t="str">
        <f t="shared" si="0"/>
        <v/>
      </c>
      <c r="F7">
        <v>1</v>
      </c>
      <c r="G7" s="2">
        <v>1.5</v>
      </c>
      <c r="H7" t="s">
        <v>213</v>
      </c>
    </row>
    <row r="8" spans="1:8" x14ac:dyDescent="0.25">
      <c r="A8" t="s">
        <v>171</v>
      </c>
      <c r="B8">
        <v>29</v>
      </c>
      <c r="C8">
        <v>29.88047981262207</v>
      </c>
      <c r="D8">
        <f t="shared" si="1"/>
        <v>0.88047981262207031</v>
      </c>
      <c r="E8">
        <f t="shared" si="0"/>
        <v>0.40543174743651988</v>
      </c>
      <c r="F8">
        <v>1</v>
      </c>
      <c r="G8" s="2">
        <v>1.5</v>
      </c>
      <c r="H8" t="s">
        <v>214</v>
      </c>
    </row>
    <row r="9" spans="1:8" x14ac:dyDescent="0.25">
      <c r="A9" t="s">
        <v>172</v>
      </c>
      <c r="B9">
        <v>29</v>
      </c>
      <c r="C9">
        <v>29.47504806518555</v>
      </c>
      <c r="D9">
        <f t="shared" si="1"/>
        <v>0.47504806518555043</v>
      </c>
      <c r="E9" t="str">
        <f t="shared" si="0"/>
        <v/>
      </c>
      <c r="F9">
        <v>1</v>
      </c>
      <c r="G9" s="2">
        <v>1.5</v>
      </c>
      <c r="H9" t="s">
        <v>214</v>
      </c>
    </row>
    <row r="10" spans="1:8" x14ac:dyDescent="0.25">
      <c r="A10" t="s">
        <v>173</v>
      </c>
      <c r="B10">
        <v>23</v>
      </c>
      <c r="C10">
        <v>21.73850250244141</v>
      </c>
      <c r="D10">
        <f t="shared" si="1"/>
        <v>1.2614974975585902</v>
      </c>
      <c r="E10">
        <f t="shared" si="0"/>
        <v>0.11075210571289063</v>
      </c>
      <c r="F10">
        <v>1</v>
      </c>
      <c r="G10" s="2">
        <v>1.5</v>
      </c>
      <c r="H10" t="s">
        <v>215</v>
      </c>
    </row>
    <row r="11" spans="1:8" x14ac:dyDescent="0.25">
      <c r="A11" t="s">
        <v>174</v>
      </c>
      <c r="B11">
        <v>23</v>
      </c>
      <c r="C11">
        <v>21.627750396728519</v>
      </c>
      <c r="D11">
        <f t="shared" si="1"/>
        <v>1.3722496032714808</v>
      </c>
      <c r="E11" t="str">
        <f t="shared" si="0"/>
        <v/>
      </c>
      <c r="F11">
        <v>1</v>
      </c>
      <c r="G11" s="2">
        <v>1.5</v>
      </c>
      <c r="H11" t="s">
        <v>215</v>
      </c>
    </row>
    <row r="12" spans="1:8" x14ac:dyDescent="0.25">
      <c r="A12" t="s">
        <v>175</v>
      </c>
      <c r="B12">
        <v>25</v>
      </c>
      <c r="C12">
        <v>23.01015663146973</v>
      </c>
      <c r="D12">
        <f t="shared" si="1"/>
        <v>1.9898433685302699</v>
      </c>
      <c r="E12">
        <f t="shared" si="0"/>
        <v>1.0869159698486399</v>
      </c>
      <c r="F12">
        <v>1</v>
      </c>
      <c r="G12" s="2">
        <v>1.5</v>
      </c>
      <c r="H12" t="s">
        <v>216</v>
      </c>
    </row>
    <row r="13" spans="1:8" x14ac:dyDescent="0.25">
      <c r="A13" t="s">
        <v>176</v>
      </c>
      <c r="B13">
        <v>25</v>
      </c>
      <c r="C13">
        <v>21.92324066162109</v>
      </c>
      <c r="D13">
        <f t="shared" si="1"/>
        <v>3.0767593383789098</v>
      </c>
      <c r="E13" t="str">
        <f t="shared" si="0"/>
        <v/>
      </c>
      <c r="F13">
        <v>1</v>
      </c>
      <c r="G13" s="2">
        <v>1.5</v>
      </c>
      <c r="H13" t="s">
        <v>216</v>
      </c>
    </row>
    <row r="14" spans="1:8" x14ac:dyDescent="0.25">
      <c r="A14" t="s">
        <v>177</v>
      </c>
      <c r="B14">
        <v>34</v>
      </c>
      <c r="C14">
        <v>24.618257522583011</v>
      </c>
      <c r="D14">
        <f t="shared" si="1"/>
        <v>9.3817424774169886</v>
      </c>
      <c r="E14">
        <f t="shared" si="0"/>
        <v>4.4288158416747976</v>
      </c>
      <c r="F14">
        <v>1</v>
      </c>
      <c r="G14" s="2">
        <v>1.5</v>
      </c>
      <c r="H14" t="s">
        <v>217</v>
      </c>
    </row>
    <row r="15" spans="1:8" x14ac:dyDescent="0.25">
      <c r="A15" t="s">
        <v>178</v>
      </c>
      <c r="B15">
        <v>34</v>
      </c>
      <c r="C15">
        <v>29.047073364257809</v>
      </c>
      <c r="D15">
        <f t="shared" si="1"/>
        <v>4.9529266357421911</v>
      </c>
      <c r="E15" t="str">
        <f t="shared" si="0"/>
        <v/>
      </c>
      <c r="F15">
        <v>1</v>
      </c>
      <c r="G15" s="2">
        <v>1.5</v>
      </c>
      <c r="H15" t="s">
        <v>217</v>
      </c>
    </row>
    <row r="16" spans="1:8" x14ac:dyDescent="0.25">
      <c r="A16" t="s">
        <v>179</v>
      </c>
      <c r="B16">
        <v>20</v>
      </c>
      <c r="C16">
        <v>18.7060661315918</v>
      </c>
      <c r="D16">
        <f t="shared" si="1"/>
        <v>1.2939338684081996</v>
      </c>
      <c r="E16">
        <f t="shared" si="0"/>
        <v>0.28824234008789063</v>
      </c>
      <c r="F16">
        <v>2</v>
      </c>
      <c r="G16" s="2">
        <v>1.5</v>
      </c>
      <c r="H16" t="s">
        <v>218</v>
      </c>
    </row>
    <row r="17" spans="1:8" x14ac:dyDescent="0.25">
      <c r="A17" t="s">
        <v>180</v>
      </c>
      <c r="B17">
        <v>20</v>
      </c>
      <c r="C17">
        <v>18.994308471679691</v>
      </c>
      <c r="D17">
        <f t="shared" si="1"/>
        <v>1.0056915283203089</v>
      </c>
      <c r="E17" t="str">
        <f t="shared" si="0"/>
        <v/>
      </c>
      <c r="F17">
        <v>2</v>
      </c>
      <c r="G17" s="2">
        <v>1.5</v>
      </c>
      <c r="H17" t="s">
        <v>218</v>
      </c>
    </row>
    <row r="18" spans="1:8" x14ac:dyDescent="0.25">
      <c r="A18" t="s">
        <v>181</v>
      </c>
      <c r="B18">
        <v>20</v>
      </c>
      <c r="C18">
        <v>21.401962280273441</v>
      </c>
      <c r="D18">
        <f t="shared" si="1"/>
        <v>1.4019622802734411</v>
      </c>
      <c r="E18">
        <f t="shared" si="0"/>
        <v>0.43429756164550781</v>
      </c>
      <c r="F18">
        <v>2</v>
      </c>
      <c r="G18" s="2">
        <v>1.5</v>
      </c>
      <c r="H18" t="s">
        <v>219</v>
      </c>
    </row>
    <row r="19" spans="1:8" x14ac:dyDescent="0.25">
      <c r="A19" t="s">
        <v>182</v>
      </c>
      <c r="B19">
        <v>20</v>
      </c>
      <c r="C19">
        <v>21.836259841918949</v>
      </c>
      <c r="D19">
        <f t="shared" si="1"/>
        <v>1.8362598419189489</v>
      </c>
      <c r="E19" t="str">
        <f t="shared" si="0"/>
        <v/>
      </c>
      <c r="F19">
        <v>2</v>
      </c>
      <c r="G19" s="2">
        <v>1.5</v>
      </c>
      <c r="H19" t="s">
        <v>219</v>
      </c>
    </row>
    <row r="20" spans="1:8" x14ac:dyDescent="0.25">
      <c r="A20" t="s">
        <v>183</v>
      </c>
      <c r="B20">
        <v>21</v>
      </c>
      <c r="C20">
        <v>23.17032623291016</v>
      </c>
      <c r="D20">
        <f t="shared" si="1"/>
        <v>2.1703262329101598</v>
      </c>
      <c r="E20">
        <f t="shared" si="0"/>
        <v>0.42477035522460938</v>
      </c>
      <c r="F20">
        <v>2</v>
      </c>
      <c r="G20" s="2">
        <v>1.5</v>
      </c>
      <c r="H20" t="s">
        <v>220</v>
      </c>
    </row>
    <row r="21" spans="1:8" x14ac:dyDescent="0.25">
      <c r="A21" t="s">
        <v>184</v>
      </c>
      <c r="B21">
        <v>21</v>
      </c>
      <c r="C21">
        <v>23.595096588134769</v>
      </c>
      <c r="D21">
        <f t="shared" si="1"/>
        <v>2.5950965881347692</v>
      </c>
      <c r="E21" t="str">
        <f t="shared" si="0"/>
        <v/>
      </c>
      <c r="F21">
        <v>2</v>
      </c>
      <c r="G21" s="2">
        <v>1.5</v>
      </c>
      <c r="H21" t="s">
        <v>220</v>
      </c>
    </row>
    <row r="22" spans="1:8" x14ac:dyDescent="0.25">
      <c r="A22" t="s">
        <v>185</v>
      </c>
      <c r="B22">
        <v>23</v>
      </c>
      <c r="C22">
        <v>24.614536285400391</v>
      </c>
      <c r="D22">
        <f t="shared" si="1"/>
        <v>1.6145362854003906</v>
      </c>
      <c r="E22">
        <f t="shared" si="0"/>
        <v>1.6596527099609411</v>
      </c>
      <c r="F22">
        <v>2</v>
      </c>
      <c r="G22" s="2">
        <v>1.5</v>
      </c>
      <c r="H22" t="s">
        <v>221</v>
      </c>
    </row>
    <row r="23" spans="1:8" x14ac:dyDescent="0.25">
      <c r="A23" t="s">
        <v>186</v>
      </c>
      <c r="B23">
        <v>23</v>
      </c>
      <c r="C23">
        <v>26.274188995361332</v>
      </c>
      <c r="D23">
        <f t="shared" si="1"/>
        <v>3.2741889953613317</v>
      </c>
      <c r="E23" t="str">
        <f t="shared" si="0"/>
        <v/>
      </c>
      <c r="F23">
        <v>2</v>
      </c>
      <c r="G23" s="2">
        <v>1.5</v>
      </c>
      <c r="H23" t="s">
        <v>221</v>
      </c>
    </row>
    <row r="24" spans="1:8" x14ac:dyDescent="0.25">
      <c r="A24" t="s">
        <v>187</v>
      </c>
      <c r="B24">
        <v>19</v>
      </c>
      <c r="C24">
        <v>24.638092041015621</v>
      </c>
      <c r="D24">
        <f t="shared" si="1"/>
        <v>5.6380920410156214</v>
      </c>
      <c r="E24">
        <f t="shared" si="0"/>
        <v>5.9719085693359375E-2</v>
      </c>
      <c r="F24">
        <v>2</v>
      </c>
      <c r="G24" s="2">
        <v>1.5</v>
      </c>
      <c r="H24" t="s">
        <v>222</v>
      </c>
    </row>
    <row r="25" spans="1:8" x14ac:dyDescent="0.25">
      <c r="A25" t="s">
        <v>188</v>
      </c>
      <c r="B25">
        <v>19</v>
      </c>
      <c r="C25">
        <v>24.697811126708981</v>
      </c>
      <c r="D25">
        <f t="shared" si="1"/>
        <v>5.6978111267089808</v>
      </c>
      <c r="E25" t="str">
        <f t="shared" si="0"/>
        <v/>
      </c>
      <c r="F25">
        <v>2</v>
      </c>
      <c r="G25" s="2">
        <v>1.5</v>
      </c>
      <c r="H25" t="s">
        <v>222</v>
      </c>
    </row>
    <row r="26" spans="1:8" x14ac:dyDescent="0.25">
      <c r="A26" t="s">
        <v>189</v>
      </c>
      <c r="B26">
        <v>20</v>
      </c>
      <c r="C26">
        <v>16.265256881713871</v>
      </c>
      <c r="D26">
        <f t="shared" si="1"/>
        <v>3.7347431182861293</v>
      </c>
      <c r="E26">
        <f t="shared" si="0"/>
        <v>0.16760826110839844</v>
      </c>
      <c r="F26">
        <v>2</v>
      </c>
      <c r="G26" s="2">
        <v>1.5</v>
      </c>
      <c r="H26" t="s">
        <v>223</v>
      </c>
    </row>
    <row r="27" spans="1:8" x14ac:dyDescent="0.25">
      <c r="A27" t="s">
        <v>190</v>
      </c>
      <c r="B27">
        <v>20</v>
      </c>
      <c r="C27">
        <v>16.432865142822269</v>
      </c>
      <c r="D27">
        <f t="shared" si="1"/>
        <v>3.5671348571777308</v>
      </c>
      <c r="E27" t="str">
        <f t="shared" si="0"/>
        <v/>
      </c>
      <c r="F27">
        <v>2</v>
      </c>
      <c r="G27" s="2">
        <v>1.5</v>
      </c>
      <c r="H27" t="s">
        <v>223</v>
      </c>
    </row>
    <row r="28" spans="1:8" x14ac:dyDescent="0.25">
      <c r="A28" t="s">
        <v>191</v>
      </c>
      <c r="B28">
        <v>29</v>
      </c>
      <c r="C28">
        <v>31.349678039550781</v>
      </c>
      <c r="D28">
        <f t="shared" si="1"/>
        <v>2.3496780395507813</v>
      </c>
      <c r="E28">
        <f t="shared" si="0"/>
        <v>2.3205509185791016</v>
      </c>
      <c r="F28">
        <v>2</v>
      </c>
      <c r="G28" s="2">
        <v>1.5</v>
      </c>
      <c r="H28" t="s">
        <v>224</v>
      </c>
    </row>
    <row r="29" spans="1:8" x14ac:dyDescent="0.25">
      <c r="A29" t="s">
        <v>192</v>
      </c>
      <c r="B29">
        <v>29</v>
      </c>
      <c r="C29">
        <v>29.02912712097168</v>
      </c>
      <c r="D29">
        <f t="shared" si="1"/>
        <v>2.9127120971679688E-2</v>
      </c>
      <c r="E29" t="str">
        <f t="shared" si="0"/>
        <v/>
      </c>
      <c r="F29">
        <v>2</v>
      </c>
      <c r="G29" s="2">
        <v>1.5</v>
      </c>
      <c r="H29" t="s">
        <v>224</v>
      </c>
    </row>
    <row r="30" spans="1:8" x14ac:dyDescent="0.25">
      <c r="A30" t="s">
        <v>193</v>
      </c>
      <c r="B30">
        <v>28</v>
      </c>
      <c r="C30">
        <v>25.648628234863281</v>
      </c>
      <c r="D30">
        <f t="shared" si="1"/>
        <v>2.3513717651367188</v>
      </c>
      <c r="E30">
        <f t="shared" si="0"/>
        <v>0.44508552551269176</v>
      </c>
      <c r="F30">
        <v>2</v>
      </c>
      <c r="G30" s="2">
        <v>1.5</v>
      </c>
      <c r="H30" t="s">
        <v>225</v>
      </c>
    </row>
    <row r="31" spans="1:8" x14ac:dyDescent="0.25">
      <c r="A31" t="s">
        <v>194</v>
      </c>
      <c r="B31">
        <v>28</v>
      </c>
      <c r="C31">
        <v>25.203542709350589</v>
      </c>
      <c r="D31">
        <f t="shared" si="1"/>
        <v>2.7964572906494105</v>
      </c>
      <c r="E31" t="str">
        <f t="shared" si="0"/>
        <v/>
      </c>
      <c r="F31">
        <v>2</v>
      </c>
      <c r="G31" s="2">
        <v>1.5</v>
      </c>
      <c r="H31" t="s">
        <v>225</v>
      </c>
    </row>
    <row r="32" spans="1:8" x14ac:dyDescent="0.25">
      <c r="A32" t="s">
        <v>195</v>
      </c>
      <c r="B32">
        <v>20</v>
      </c>
      <c r="C32">
        <v>18.245895385742191</v>
      </c>
      <c r="D32">
        <f t="shared" si="1"/>
        <v>1.7541046142578089</v>
      </c>
      <c r="E32">
        <f t="shared" si="0"/>
        <v>1.9073486328117895E-2</v>
      </c>
      <c r="F32">
        <v>1</v>
      </c>
      <c r="G32" s="2">
        <v>1.5</v>
      </c>
      <c r="H32" t="s">
        <v>226</v>
      </c>
    </row>
    <row r="33" spans="1:8" x14ac:dyDescent="0.25">
      <c r="A33" t="s">
        <v>196</v>
      </c>
      <c r="B33">
        <v>20</v>
      </c>
      <c r="C33">
        <v>18.264968872070309</v>
      </c>
      <c r="D33">
        <f t="shared" si="1"/>
        <v>1.7350311279296911</v>
      </c>
      <c r="E33" t="str">
        <f t="shared" si="0"/>
        <v/>
      </c>
      <c r="F33">
        <v>1</v>
      </c>
      <c r="G33" s="2">
        <v>1.5</v>
      </c>
      <c r="H33" t="s">
        <v>226</v>
      </c>
    </row>
    <row r="34" spans="1:8" x14ac:dyDescent="0.25">
      <c r="A34" t="s">
        <v>197</v>
      </c>
      <c r="B34">
        <v>22</v>
      </c>
      <c r="C34">
        <v>22.017745971679691</v>
      </c>
      <c r="D34">
        <f t="shared" si="1"/>
        <v>1.7745971679691053E-2</v>
      </c>
      <c r="E34">
        <f t="shared" si="0"/>
        <v>1.1987991333007777</v>
      </c>
      <c r="F34">
        <v>1</v>
      </c>
      <c r="G34" s="2">
        <v>1.5</v>
      </c>
      <c r="H34" t="s">
        <v>227</v>
      </c>
    </row>
    <row r="35" spans="1:8" x14ac:dyDescent="0.25">
      <c r="A35" t="s">
        <v>198</v>
      </c>
      <c r="B35">
        <v>22</v>
      </c>
      <c r="C35">
        <v>23.216545104980469</v>
      </c>
      <c r="D35">
        <f t="shared" si="1"/>
        <v>1.2165451049804688</v>
      </c>
      <c r="E35" t="str">
        <f t="shared" si="0"/>
        <v/>
      </c>
      <c r="F35">
        <v>1</v>
      </c>
      <c r="G35" s="2">
        <v>1.5</v>
      </c>
      <c r="H35" t="s">
        <v>227</v>
      </c>
    </row>
    <row r="36" spans="1:8" x14ac:dyDescent="0.25">
      <c r="A36" t="s">
        <v>199</v>
      </c>
      <c r="B36">
        <v>22</v>
      </c>
      <c r="C36">
        <v>20.390102386474609</v>
      </c>
      <c r="D36">
        <f t="shared" si="1"/>
        <v>1.6098976135253906</v>
      </c>
      <c r="E36">
        <f t="shared" si="0"/>
        <v>1.0943737030029297</v>
      </c>
      <c r="F36">
        <v>1</v>
      </c>
      <c r="G36" s="2">
        <v>1.5</v>
      </c>
      <c r="H36" t="s">
        <v>228</v>
      </c>
    </row>
    <row r="37" spans="1:8" x14ac:dyDescent="0.25">
      <c r="A37" t="s">
        <v>200</v>
      </c>
      <c r="B37">
        <v>22</v>
      </c>
      <c r="C37">
        <v>19.29572868347168</v>
      </c>
      <c r="D37">
        <f t="shared" si="1"/>
        <v>2.7042713165283203</v>
      </c>
      <c r="E37" t="str">
        <f t="shared" si="0"/>
        <v/>
      </c>
      <c r="F37">
        <v>1</v>
      </c>
      <c r="G37" s="2">
        <v>1.5</v>
      </c>
      <c r="H37" t="s">
        <v>228</v>
      </c>
    </row>
    <row r="38" spans="1:8" x14ac:dyDescent="0.25">
      <c r="A38" t="s">
        <v>201</v>
      </c>
      <c r="B38">
        <v>20</v>
      </c>
      <c r="C38">
        <v>23.520292282104489</v>
      </c>
      <c r="D38">
        <f t="shared" si="1"/>
        <v>3.5202922821044886</v>
      </c>
      <c r="E38">
        <f t="shared" si="0"/>
        <v>0.13853263854981179</v>
      </c>
      <c r="F38">
        <v>2</v>
      </c>
      <c r="G38" s="2">
        <v>1.5</v>
      </c>
      <c r="H38" t="s">
        <v>229</v>
      </c>
    </row>
    <row r="39" spans="1:8" x14ac:dyDescent="0.25">
      <c r="A39" t="s">
        <v>202</v>
      </c>
      <c r="B39">
        <v>20</v>
      </c>
      <c r="C39">
        <v>23.6588249206543</v>
      </c>
      <c r="D39">
        <f t="shared" si="1"/>
        <v>3.6588249206543004</v>
      </c>
      <c r="E39" t="str">
        <f t="shared" si="0"/>
        <v/>
      </c>
      <c r="F39">
        <v>2</v>
      </c>
      <c r="G39" s="2">
        <v>1.5</v>
      </c>
      <c r="H39" t="s">
        <v>229</v>
      </c>
    </row>
    <row r="40" spans="1:8" x14ac:dyDescent="0.25">
      <c r="A40" t="s">
        <v>203</v>
      </c>
      <c r="B40">
        <v>26</v>
      </c>
      <c r="C40">
        <v>23.826351165771481</v>
      </c>
      <c r="D40">
        <f t="shared" si="1"/>
        <v>2.1736488342285192</v>
      </c>
      <c r="E40">
        <f t="shared" si="0"/>
        <v>0.22940063476562855</v>
      </c>
      <c r="F40">
        <v>2</v>
      </c>
      <c r="G40" s="2">
        <v>1.5</v>
      </c>
      <c r="H40" t="s">
        <v>230</v>
      </c>
    </row>
    <row r="41" spans="1:8" x14ac:dyDescent="0.25">
      <c r="A41" t="s">
        <v>204</v>
      </c>
      <c r="B41">
        <v>26</v>
      </c>
      <c r="C41">
        <v>24.055751800537109</v>
      </c>
      <c r="D41">
        <f t="shared" si="1"/>
        <v>1.9442481994628906</v>
      </c>
      <c r="E41" t="str">
        <f t="shared" si="0"/>
        <v/>
      </c>
      <c r="F41">
        <v>2</v>
      </c>
      <c r="G41" s="2">
        <v>1.5</v>
      </c>
      <c r="H41" t="s">
        <v>230</v>
      </c>
    </row>
  </sheetData>
  <phoneticPr fontId="2" type="noConversion"/>
  <conditionalFormatting sqref="E2:E41">
    <cfRule type="cellIs" dxfId="3" priority="1" operator="between">
      <formula>1000</formula>
      <formula>6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1"/>
  <sheetViews>
    <sheetView topLeftCell="A103" workbookViewId="0">
      <selection activeCell="D122" sqref="D122"/>
    </sheetView>
  </sheetViews>
  <sheetFormatPr defaultRowHeight="15.75" x14ac:dyDescent="0.25"/>
  <cols>
    <col min="1" max="1" width="14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231</v>
      </c>
      <c r="E1" s="1" t="s">
        <v>206</v>
      </c>
      <c r="F1" s="1" t="s">
        <v>232</v>
      </c>
      <c r="G1" s="1" t="s">
        <v>233</v>
      </c>
      <c r="H1" s="1" t="s">
        <v>210</v>
      </c>
    </row>
    <row r="2" spans="1:8" ht="16.5" x14ac:dyDescent="0.25">
      <c r="A2" t="s">
        <v>3</v>
      </c>
      <c r="B2">
        <v>26</v>
      </c>
      <c r="C2">
        <v>24.42140960693359</v>
      </c>
      <c r="D2">
        <f>ABS(C2-B2)</f>
        <v>1.5785903930664098</v>
      </c>
      <c r="E2">
        <f>IF(MOD(ROW(),2)=0,ABS(C2-C3),"")</f>
        <v>1.723125457763679</v>
      </c>
      <c r="F2" s="3">
        <v>1</v>
      </c>
      <c r="G2" s="2">
        <v>3</v>
      </c>
      <c r="H2">
        <v>101</v>
      </c>
    </row>
    <row r="3" spans="1:8" x14ac:dyDescent="0.25">
      <c r="A3" t="s">
        <v>4</v>
      </c>
      <c r="B3">
        <v>26</v>
      </c>
      <c r="C3">
        <v>26.144535064697269</v>
      </c>
      <c r="D3">
        <f t="shared" ref="D3:D66" si="0">ABS(C3-B3)</f>
        <v>0.14453506469726918</v>
      </c>
      <c r="E3" t="str">
        <f t="shared" ref="E3:E66" si="1">IF(MOD(ROW(),2)=0,ABS(C3-C4),"")</f>
        <v/>
      </c>
      <c r="F3" s="2">
        <v>1</v>
      </c>
      <c r="G3" s="2">
        <v>3</v>
      </c>
      <c r="H3">
        <v>101</v>
      </c>
    </row>
    <row r="4" spans="1:8" x14ac:dyDescent="0.25">
      <c r="A4" t="s">
        <v>5</v>
      </c>
      <c r="B4">
        <v>26</v>
      </c>
      <c r="C4">
        <v>24.626535415649411</v>
      </c>
      <c r="D4">
        <f t="shared" si="0"/>
        <v>1.3734645843505895</v>
      </c>
      <c r="E4">
        <f t="shared" si="1"/>
        <v>0.43605232238769176</v>
      </c>
      <c r="F4" s="2">
        <v>1</v>
      </c>
      <c r="G4" s="2">
        <v>3</v>
      </c>
      <c r="H4">
        <v>102</v>
      </c>
    </row>
    <row r="5" spans="1:8" x14ac:dyDescent="0.25">
      <c r="A5" t="s">
        <v>6</v>
      </c>
      <c r="B5">
        <v>26</v>
      </c>
      <c r="C5">
        <v>24.190483093261719</v>
      </c>
      <c r="D5">
        <f t="shared" si="0"/>
        <v>1.8095169067382813</v>
      </c>
      <c r="E5" t="str">
        <f t="shared" si="1"/>
        <v/>
      </c>
      <c r="F5" s="2">
        <v>1</v>
      </c>
      <c r="G5" s="2">
        <v>3</v>
      </c>
      <c r="H5">
        <v>102</v>
      </c>
    </row>
    <row r="6" spans="1:8" x14ac:dyDescent="0.25">
      <c r="A6" t="s">
        <v>7</v>
      </c>
      <c r="B6">
        <v>26</v>
      </c>
      <c r="C6">
        <v>25.534894943237301</v>
      </c>
      <c r="D6">
        <f t="shared" si="0"/>
        <v>0.46510505676269887</v>
      </c>
      <c r="E6">
        <f t="shared" si="1"/>
        <v>1.2371120452880895</v>
      </c>
      <c r="F6" s="2">
        <v>1</v>
      </c>
      <c r="G6" s="2">
        <v>3</v>
      </c>
      <c r="H6">
        <v>103</v>
      </c>
    </row>
    <row r="7" spans="1:8" x14ac:dyDescent="0.25">
      <c r="A7" t="s">
        <v>8</v>
      </c>
      <c r="B7">
        <v>26</v>
      </c>
      <c r="C7">
        <v>26.772006988525391</v>
      </c>
      <c r="D7">
        <f t="shared" si="0"/>
        <v>0.77200698852539063</v>
      </c>
      <c r="E7" t="str">
        <f t="shared" si="1"/>
        <v/>
      </c>
      <c r="F7" s="2">
        <v>1</v>
      </c>
      <c r="G7" s="2">
        <v>3</v>
      </c>
      <c r="H7">
        <v>103</v>
      </c>
    </row>
    <row r="8" spans="1:8" x14ac:dyDescent="0.25">
      <c r="A8" t="s">
        <v>9</v>
      </c>
      <c r="B8">
        <v>26</v>
      </c>
      <c r="C8">
        <v>27.536844253540039</v>
      </c>
      <c r="D8">
        <f t="shared" si="0"/>
        <v>1.5368442535400391</v>
      </c>
      <c r="E8">
        <f t="shared" si="1"/>
        <v>1.2177143096923793</v>
      </c>
      <c r="F8" s="2">
        <v>1</v>
      </c>
      <c r="G8" s="2">
        <v>3</v>
      </c>
      <c r="H8">
        <v>104</v>
      </c>
    </row>
    <row r="9" spans="1:8" x14ac:dyDescent="0.25">
      <c r="A9" t="s">
        <v>10</v>
      </c>
      <c r="B9">
        <v>26</v>
      </c>
      <c r="C9">
        <v>26.31912994384766</v>
      </c>
      <c r="D9">
        <f t="shared" si="0"/>
        <v>0.3191299438476598</v>
      </c>
      <c r="E9" t="str">
        <f t="shared" si="1"/>
        <v/>
      </c>
      <c r="F9" s="2">
        <v>1</v>
      </c>
      <c r="G9" s="2">
        <v>3</v>
      </c>
      <c r="H9">
        <v>104</v>
      </c>
    </row>
    <row r="10" spans="1:8" x14ac:dyDescent="0.25">
      <c r="A10" t="s">
        <v>11</v>
      </c>
      <c r="B10">
        <v>26</v>
      </c>
      <c r="C10">
        <v>26.882183074951168</v>
      </c>
      <c r="D10">
        <f t="shared" si="0"/>
        <v>0.88218307495116832</v>
      </c>
      <c r="E10">
        <f t="shared" si="1"/>
        <v>0.1259918212890625</v>
      </c>
      <c r="F10" s="2">
        <v>1</v>
      </c>
      <c r="G10" s="2">
        <v>3</v>
      </c>
      <c r="H10">
        <v>105</v>
      </c>
    </row>
    <row r="11" spans="1:8" x14ac:dyDescent="0.25">
      <c r="A11" t="s">
        <v>12</v>
      </c>
      <c r="B11">
        <v>26</v>
      </c>
      <c r="C11">
        <v>27.008174896240231</v>
      </c>
      <c r="D11">
        <f t="shared" si="0"/>
        <v>1.0081748962402308</v>
      </c>
      <c r="E11" t="str">
        <f t="shared" si="1"/>
        <v/>
      </c>
      <c r="F11" s="2">
        <v>1</v>
      </c>
      <c r="G11" s="2">
        <v>3</v>
      </c>
      <c r="H11">
        <v>105</v>
      </c>
    </row>
    <row r="12" spans="1:8" x14ac:dyDescent="0.25">
      <c r="A12" t="s">
        <v>13</v>
      </c>
      <c r="B12">
        <v>26</v>
      </c>
      <c r="C12">
        <v>28.542926788330082</v>
      </c>
      <c r="D12">
        <f t="shared" si="0"/>
        <v>2.5429267883300817</v>
      </c>
      <c r="E12">
        <f t="shared" si="1"/>
        <v>2.2358589172363317</v>
      </c>
      <c r="F12" s="2">
        <v>1</v>
      </c>
      <c r="G12" s="2">
        <v>3</v>
      </c>
      <c r="H12">
        <v>106</v>
      </c>
    </row>
    <row r="13" spans="1:8" x14ac:dyDescent="0.25">
      <c r="A13" t="s">
        <v>14</v>
      </c>
      <c r="B13">
        <v>26</v>
      </c>
      <c r="C13">
        <v>26.30706787109375</v>
      </c>
      <c r="D13">
        <f t="shared" si="0"/>
        <v>0.30706787109375</v>
      </c>
      <c r="E13" t="str">
        <f t="shared" si="1"/>
        <v/>
      </c>
      <c r="F13" s="2">
        <v>1</v>
      </c>
      <c r="G13" s="2">
        <v>3</v>
      </c>
      <c r="H13">
        <v>106</v>
      </c>
    </row>
    <row r="14" spans="1:8" x14ac:dyDescent="0.25">
      <c r="A14" t="s">
        <v>15</v>
      </c>
      <c r="B14">
        <v>26</v>
      </c>
      <c r="C14">
        <v>25.967683792114261</v>
      </c>
      <c r="D14">
        <f t="shared" si="0"/>
        <v>3.2316207885738635E-2</v>
      </c>
      <c r="E14">
        <f t="shared" si="1"/>
        <v>1.0352478027343821</v>
      </c>
      <c r="F14" s="2">
        <v>1</v>
      </c>
      <c r="G14" s="2">
        <v>3</v>
      </c>
      <c r="H14">
        <v>107</v>
      </c>
    </row>
    <row r="15" spans="1:8" x14ac:dyDescent="0.25">
      <c r="A15" t="s">
        <v>16</v>
      </c>
      <c r="B15">
        <v>26</v>
      </c>
      <c r="C15">
        <v>24.932435989379879</v>
      </c>
      <c r="D15">
        <f t="shared" si="0"/>
        <v>1.0675640106201207</v>
      </c>
      <c r="E15" t="str">
        <f t="shared" si="1"/>
        <v/>
      </c>
      <c r="F15" s="2">
        <v>1</v>
      </c>
      <c r="G15" s="2">
        <v>3</v>
      </c>
      <c r="H15">
        <v>107</v>
      </c>
    </row>
    <row r="16" spans="1:8" x14ac:dyDescent="0.25">
      <c r="A16" t="s">
        <v>17</v>
      </c>
      <c r="B16">
        <v>26</v>
      </c>
      <c r="C16">
        <v>24.738803863525391</v>
      </c>
      <c r="D16">
        <f t="shared" si="0"/>
        <v>1.2611961364746094</v>
      </c>
      <c r="E16">
        <f t="shared" si="1"/>
        <v>1.9919757843017578</v>
      </c>
      <c r="F16" s="2">
        <v>1</v>
      </c>
      <c r="G16" s="2">
        <v>3</v>
      </c>
      <c r="H16">
        <v>108</v>
      </c>
    </row>
    <row r="17" spans="1:8" x14ac:dyDescent="0.25">
      <c r="A17" t="s">
        <v>18</v>
      </c>
      <c r="B17">
        <v>26</v>
      </c>
      <c r="C17">
        <v>26.730779647827148</v>
      </c>
      <c r="D17">
        <f t="shared" si="0"/>
        <v>0.73077964782714844</v>
      </c>
      <c r="E17" t="str">
        <f t="shared" si="1"/>
        <v/>
      </c>
      <c r="F17" s="2">
        <v>1</v>
      </c>
      <c r="G17" s="2">
        <v>3</v>
      </c>
      <c r="H17">
        <v>108</v>
      </c>
    </row>
    <row r="18" spans="1:8" x14ac:dyDescent="0.25">
      <c r="A18" t="s">
        <v>19</v>
      </c>
      <c r="B18">
        <v>26</v>
      </c>
      <c r="C18">
        <v>24.680488586425781</v>
      </c>
      <c r="D18">
        <f t="shared" si="0"/>
        <v>1.3195114135742188</v>
      </c>
      <c r="E18">
        <f t="shared" si="1"/>
        <v>0.7768707275390625</v>
      </c>
      <c r="F18" s="2">
        <v>1</v>
      </c>
      <c r="G18" s="2">
        <v>3</v>
      </c>
      <c r="H18">
        <v>109</v>
      </c>
    </row>
    <row r="19" spans="1:8" x14ac:dyDescent="0.25">
      <c r="A19" t="s">
        <v>20</v>
      </c>
      <c r="B19">
        <v>26</v>
      </c>
      <c r="C19">
        <v>23.903617858886719</v>
      </c>
      <c r="D19">
        <f t="shared" si="0"/>
        <v>2.0963821411132813</v>
      </c>
      <c r="E19" t="str">
        <f t="shared" si="1"/>
        <v/>
      </c>
      <c r="F19" s="2">
        <v>1</v>
      </c>
      <c r="G19" s="2">
        <v>3</v>
      </c>
      <c r="H19">
        <v>109</v>
      </c>
    </row>
    <row r="20" spans="1:8" x14ac:dyDescent="0.25">
      <c r="A20" t="s">
        <v>21</v>
      </c>
      <c r="B20">
        <v>26</v>
      </c>
      <c r="C20">
        <v>26.21979904174805</v>
      </c>
      <c r="D20">
        <f t="shared" si="0"/>
        <v>0.21979904174805043</v>
      </c>
      <c r="E20">
        <f t="shared" si="1"/>
        <v>1.0047035217285192</v>
      </c>
      <c r="F20" s="2">
        <v>1</v>
      </c>
      <c r="G20" s="2">
        <v>3</v>
      </c>
      <c r="H20">
        <v>110</v>
      </c>
    </row>
    <row r="21" spans="1:8" x14ac:dyDescent="0.25">
      <c r="A21" t="s">
        <v>22</v>
      </c>
      <c r="B21">
        <v>26</v>
      </c>
      <c r="C21">
        <v>25.215095520019531</v>
      </c>
      <c r="D21">
        <f t="shared" si="0"/>
        <v>0.78490447998046875</v>
      </c>
      <c r="E21" t="str">
        <f t="shared" si="1"/>
        <v/>
      </c>
      <c r="F21" s="2">
        <v>1</v>
      </c>
      <c r="G21" s="2">
        <v>3</v>
      </c>
      <c r="H21">
        <v>110</v>
      </c>
    </row>
    <row r="22" spans="1:8" x14ac:dyDescent="0.25">
      <c r="A22" t="s">
        <v>23</v>
      </c>
      <c r="B22">
        <v>26</v>
      </c>
      <c r="C22">
        <v>26.540519714355469</v>
      </c>
      <c r="D22">
        <f t="shared" si="0"/>
        <v>0.54051971435546875</v>
      </c>
      <c r="E22">
        <f t="shared" si="1"/>
        <v>1.1319313049316371</v>
      </c>
      <c r="F22" s="2">
        <v>1</v>
      </c>
      <c r="G22" s="2">
        <v>3</v>
      </c>
      <c r="H22">
        <v>111</v>
      </c>
    </row>
    <row r="23" spans="1:8" x14ac:dyDescent="0.25">
      <c r="A23" t="s">
        <v>24</v>
      </c>
      <c r="B23">
        <v>26</v>
      </c>
      <c r="C23">
        <v>25.408588409423832</v>
      </c>
      <c r="D23">
        <f t="shared" si="0"/>
        <v>0.59141159057616832</v>
      </c>
      <c r="E23" t="str">
        <f t="shared" si="1"/>
        <v/>
      </c>
      <c r="F23" s="2">
        <v>1</v>
      </c>
      <c r="G23" s="2">
        <v>3</v>
      </c>
      <c r="H23">
        <v>111</v>
      </c>
    </row>
    <row r="24" spans="1:8" x14ac:dyDescent="0.25">
      <c r="A24" t="s">
        <v>25</v>
      </c>
      <c r="B24">
        <v>26</v>
      </c>
      <c r="C24">
        <v>26.780937194824219</v>
      </c>
      <c r="D24">
        <f t="shared" si="0"/>
        <v>0.78093719482421875</v>
      </c>
      <c r="E24">
        <f t="shared" si="1"/>
        <v>1.8169288635253871</v>
      </c>
      <c r="F24" s="2">
        <v>1</v>
      </c>
      <c r="G24" s="2">
        <v>3</v>
      </c>
      <c r="H24">
        <v>112</v>
      </c>
    </row>
    <row r="25" spans="1:8" x14ac:dyDescent="0.25">
      <c r="A25" t="s">
        <v>26</v>
      </c>
      <c r="B25">
        <v>26</v>
      </c>
      <c r="C25">
        <v>24.964008331298832</v>
      </c>
      <c r="D25">
        <f t="shared" si="0"/>
        <v>1.0359916687011683</v>
      </c>
      <c r="E25" t="str">
        <f t="shared" si="1"/>
        <v/>
      </c>
      <c r="F25" s="2">
        <v>1</v>
      </c>
      <c r="G25" s="2">
        <v>3</v>
      </c>
      <c r="H25">
        <v>112</v>
      </c>
    </row>
    <row r="26" spans="1:8" x14ac:dyDescent="0.25">
      <c r="A26" t="s">
        <v>27</v>
      </c>
      <c r="B26">
        <v>26</v>
      </c>
      <c r="C26">
        <v>25.477493286132809</v>
      </c>
      <c r="D26">
        <f t="shared" si="0"/>
        <v>0.52250671386719105</v>
      </c>
      <c r="E26">
        <f t="shared" si="1"/>
        <v>0.91296768188477273</v>
      </c>
      <c r="F26" s="2">
        <v>1</v>
      </c>
      <c r="G26" s="2">
        <v>3</v>
      </c>
      <c r="H26">
        <v>113</v>
      </c>
    </row>
    <row r="27" spans="1:8" x14ac:dyDescent="0.25">
      <c r="A27" t="s">
        <v>28</v>
      </c>
      <c r="B27">
        <v>26</v>
      </c>
      <c r="C27">
        <v>26.390460968017582</v>
      </c>
      <c r="D27">
        <f t="shared" si="0"/>
        <v>0.39046096801758168</v>
      </c>
      <c r="E27" t="str">
        <f t="shared" si="1"/>
        <v/>
      </c>
      <c r="F27" s="2">
        <v>1</v>
      </c>
      <c r="G27" s="2">
        <v>3</v>
      </c>
      <c r="H27">
        <v>113</v>
      </c>
    </row>
    <row r="28" spans="1:8" x14ac:dyDescent="0.25">
      <c r="A28" t="s">
        <v>29</v>
      </c>
      <c r="B28">
        <v>26</v>
      </c>
      <c r="C28">
        <v>25.507598876953121</v>
      </c>
      <c r="D28">
        <f t="shared" si="0"/>
        <v>0.49240112304687855</v>
      </c>
      <c r="E28">
        <f t="shared" si="1"/>
        <v>0.85004806518553977</v>
      </c>
      <c r="F28" s="2">
        <v>1</v>
      </c>
      <c r="G28" s="2">
        <v>3</v>
      </c>
      <c r="H28">
        <v>114</v>
      </c>
    </row>
    <row r="29" spans="1:8" x14ac:dyDescent="0.25">
      <c r="A29" t="s">
        <v>30</v>
      </c>
      <c r="B29">
        <v>26</v>
      </c>
      <c r="C29">
        <v>24.657550811767582</v>
      </c>
      <c r="D29">
        <f t="shared" si="0"/>
        <v>1.3424491882324183</v>
      </c>
      <c r="E29" t="str">
        <f t="shared" si="1"/>
        <v/>
      </c>
      <c r="F29" s="2">
        <v>1</v>
      </c>
      <c r="G29" s="2">
        <v>3</v>
      </c>
      <c r="H29">
        <v>114</v>
      </c>
    </row>
    <row r="30" spans="1:8" x14ac:dyDescent="0.25">
      <c r="A30" t="s">
        <v>31</v>
      </c>
      <c r="B30">
        <v>26</v>
      </c>
      <c r="C30">
        <v>26.183420181274411</v>
      </c>
      <c r="D30">
        <f t="shared" si="0"/>
        <v>0.18342018127441051</v>
      </c>
      <c r="E30">
        <f t="shared" si="1"/>
        <v>0.34668159484863992</v>
      </c>
      <c r="F30" s="2">
        <v>1</v>
      </c>
      <c r="G30" s="2">
        <v>3</v>
      </c>
      <c r="H30">
        <v>115</v>
      </c>
    </row>
    <row r="31" spans="1:8" x14ac:dyDescent="0.25">
      <c r="A31" t="s">
        <v>32</v>
      </c>
      <c r="B31">
        <v>26</v>
      </c>
      <c r="C31">
        <v>26.53010177612305</v>
      </c>
      <c r="D31">
        <f t="shared" si="0"/>
        <v>0.53010177612305043</v>
      </c>
      <c r="E31" t="str">
        <f t="shared" si="1"/>
        <v/>
      </c>
      <c r="F31" s="2">
        <v>1</v>
      </c>
      <c r="G31" s="2">
        <v>3</v>
      </c>
      <c r="H31">
        <v>115</v>
      </c>
    </row>
    <row r="32" spans="1:8" x14ac:dyDescent="0.25">
      <c r="A32" t="s">
        <v>33</v>
      </c>
      <c r="B32">
        <v>26</v>
      </c>
      <c r="C32">
        <v>26.86811637878418</v>
      </c>
      <c r="D32">
        <f t="shared" si="0"/>
        <v>0.86811637878417969</v>
      </c>
      <c r="E32">
        <f t="shared" si="1"/>
        <v>1.4437465667724609</v>
      </c>
      <c r="F32" s="2">
        <v>1</v>
      </c>
      <c r="G32" s="2">
        <v>3</v>
      </c>
      <c r="H32">
        <v>116</v>
      </c>
    </row>
    <row r="33" spans="1:8" x14ac:dyDescent="0.25">
      <c r="A33" t="s">
        <v>34</v>
      </c>
      <c r="B33">
        <v>26</v>
      </c>
      <c r="C33">
        <v>25.424369812011719</v>
      </c>
      <c r="D33">
        <f t="shared" si="0"/>
        <v>0.57563018798828125</v>
      </c>
      <c r="E33" t="str">
        <f t="shared" si="1"/>
        <v/>
      </c>
      <c r="F33" s="2">
        <v>1</v>
      </c>
      <c r="G33" s="2">
        <v>3</v>
      </c>
      <c r="H33">
        <v>116</v>
      </c>
    </row>
    <row r="34" spans="1:8" x14ac:dyDescent="0.25">
      <c r="A34" t="s">
        <v>35</v>
      </c>
      <c r="B34">
        <v>26</v>
      </c>
      <c r="C34">
        <v>25.83553314208984</v>
      </c>
      <c r="D34">
        <f t="shared" si="0"/>
        <v>0.1644668579101598</v>
      </c>
      <c r="E34">
        <f t="shared" si="1"/>
        <v>0.80569076538085938</v>
      </c>
      <c r="F34" s="2">
        <v>1</v>
      </c>
      <c r="G34" s="2">
        <v>3</v>
      </c>
      <c r="H34">
        <v>117</v>
      </c>
    </row>
    <row r="35" spans="1:8" x14ac:dyDescent="0.25">
      <c r="A35" t="s">
        <v>36</v>
      </c>
      <c r="B35">
        <v>26</v>
      </c>
      <c r="C35">
        <v>25.029842376708981</v>
      </c>
      <c r="D35">
        <f t="shared" si="0"/>
        <v>0.97015762329101918</v>
      </c>
      <c r="E35" t="str">
        <f t="shared" si="1"/>
        <v/>
      </c>
      <c r="F35" s="2">
        <v>1</v>
      </c>
      <c r="G35" s="2">
        <v>3</v>
      </c>
      <c r="H35">
        <v>117</v>
      </c>
    </row>
    <row r="36" spans="1:8" x14ac:dyDescent="0.25">
      <c r="A36" t="s">
        <v>37</v>
      </c>
      <c r="B36">
        <v>26</v>
      </c>
      <c r="C36">
        <v>25.989814758300781</v>
      </c>
      <c r="D36">
        <f t="shared" si="0"/>
        <v>1.018524169921875E-2</v>
      </c>
      <c r="E36">
        <f t="shared" si="1"/>
        <v>1.7191352844238281</v>
      </c>
      <c r="F36" s="2">
        <v>1</v>
      </c>
      <c r="G36" s="2">
        <v>3</v>
      </c>
      <c r="H36">
        <v>118</v>
      </c>
    </row>
    <row r="37" spans="1:8" x14ac:dyDescent="0.25">
      <c r="A37" t="s">
        <v>38</v>
      </c>
      <c r="B37">
        <v>26</v>
      </c>
      <c r="C37">
        <v>27.708950042724609</v>
      </c>
      <c r="D37">
        <f t="shared" si="0"/>
        <v>1.7089500427246094</v>
      </c>
      <c r="E37" t="str">
        <f t="shared" si="1"/>
        <v/>
      </c>
      <c r="F37" s="2">
        <v>1</v>
      </c>
      <c r="G37" s="2">
        <v>3</v>
      </c>
      <c r="H37">
        <v>118</v>
      </c>
    </row>
    <row r="38" spans="1:8" x14ac:dyDescent="0.25">
      <c r="A38" t="s">
        <v>39</v>
      </c>
      <c r="B38">
        <v>26</v>
      </c>
      <c r="C38">
        <v>28.113945007324219</v>
      </c>
      <c r="D38">
        <f t="shared" si="0"/>
        <v>2.1139450073242188</v>
      </c>
      <c r="E38">
        <f t="shared" si="1"/>
        <v>0.16834640502930043</v>
      </c>
      <c r="F38" s="2">
        <v>1</v>
      </c>
      <c r="G38" s="2">
        <v>3</v>
      </c>
      <c r="H38">
        <v>119</v>
      </c>
    </row>
    <row r="39" spans="1:8" x14ac:dyDescent="0.25">
      <c r="A39" t="s">
        <v>40</v>
      </c>
      <c r="B39">
        <v>26</v>
      </c>
      <c r="C39">
        <v>27.945598602294918</v>
      </c>
      <c r="D39">
        <f t="shared" si="0"/>
        <v>1.9455986022949183</v>
      </c>
      <c r="E39" t="str">
        <f t="shared" si="1"/>
        <v/>
      </c>
      <c r="F39" s="2">
        <v>1</v>
      </c>
      <c r="G39" s="2">
        <v>3</v>
      </c>
      <c r="H39">
        <v>119</v>
      </c>
    </row>
    <row r="40" spans="1:8" x14ac:dyDescent="0.25">
      <c r="A40" t="s">
        <v>41</v>
      </c>
      <c r="B40">
        <v>26</v>
      </c>
      <c r="C40">
        <v>28.018522262573239</v>
      </c>
      <c r="D40">
        <f t="shared" si="0"/>
        <v>2.0185222625732386</v>
      </c>
      <c r="E40">
        <f t="shared" si="1"/>
        <v>1.735773086547848</v>
      </c>
      <c r="F40" s="2">
        <v>1</v>
      </c>
      <c r="G40" s="2">
        <v>3</v>
      </c>
      <c r="H40">
        <v>120</v>
      </c>
    </row>
    <row r="41" spans="1:8" x14ac:dyDescent="0.25">
      <c r="A41" t="s">
        <v>42</v>
      </c>
      <c r="B41">
        <v>26</v>
      </c>
      <c r="C41">
        <v>26.282749176025391</v>
      </c>
      <c r="D41">
        <f t="shared" si="0"/>
        <v>0.28274917602539063</v>
      </c>
      <c r="E41" t="str">
        <f t="shared" si="1"/>
        <v/>
      </c>
      <c r="F41" s="2">
        <v>1</v>
      </c>
      <c r="G41" s="2">
        <v>3</v>
      </c>
      <c r="H41">
        <v>120</v>
      </c>
    </row>
    <row r="42" spans="1:8" x14ac:dyDescent="0.25">
      <c r="A42" t="s">
        <v>43</v>
      </c>
      <c r="B42">
        <v>31</v>
      </c>
      <c r="C42">
        <v>30.39545822143555</v>
      </c>
      <c r="D42">
        <f t="shared" si="0"/>
        <v>0.60454177856444957</v>
      </c>
      <c r="E42">
        <f t="shared" si="1"/>
        <v>1.9016952514648509</v>
      </c>
      <c r="F42" s="2">
        <v>1</v>
      </c>
      <c r="G42" s="2">
        <v>3</v>
      </c>
      <c r="H42">
        <v>201</v>
      </c>
    </row>
    <row r="43" spans="1:8" x14ac:dyDescent="0.25">
      <c r="A43" t="s">
        <v>44</v>
      </c>
      <c r="B43">
        <v>31</v>
      </c>
      <c r="C43">
        <v>28.4937629699707</v>
      </c>
      <c r="D43">
        <f t="shared" si="0"/>
        <v>2.5062370300293004</v>
      </c>
      <c r="E43" t="str">
        <f t="shared" si="1"/>
        <v/>
      </c>
      <c r="F43" s="2">
        <v>1</v>
      </c>
      <c r="G43" s="2">
        <v>3</v>
      </c>
      <c r="H43">
        <v>201</v>
      </c>
    </row>
    <row r="44" spans="1:8" x14ac:dyDescent="0.25">
      <c r="A44" t="s">
        <v>45</v>
      </c>
      <c r="B44">
        <v>31</v>
      </c>
      <c r="C44">
        <v>28.71099853515625</v>
      </c>
      <c r="D44">
        <f t="shared" si="0"/>
        <v>2.28900146484375</v>
      </c>
      <c r="E44">
        <f t="shared" si="1"/>
        <v>1.3339996337890625E-2</v>
      </c>
      <c r="F44" s="2">
        <v>1</v>
      </c>
      <c r="G44" s="2">
        <v>3</v>
      </c>
      <c r="H44">
        <v>202</v>
      </c>
    </row>
    <row r="45" spans="1:8" x14ac:dyDescent="0.25">
      <c r="A45" t="s">
        <v>46</v>
      </c>
      <c r="B45">
        <v>31</v>
      </c>
      <c r="C45">
        <v>28.697658538818359</v>
      </c>
      <c r="D45">
        <f t="shared" si="0"/>
        <v>2.3023414611816406</v>
      </c>
      <c r="E45" t="str">
        <f t="shared" si="1"/>
        <v/>
      </c>
      <c r="F45" s="2">
        <v>1</v>
      </c>
      <c r="G45" s="2">
        <v>3</v>
      </c>
      <c r="H45">
        <v>202</v>
      </c>
    </row>
    <row r="46" spans="1:8" x14ac:dyDescent="0.25">
      <c r="A46" t="s">
        <v>47</v>
      </c>
      <c r="B46">
        <v>31</v>
      </c>
      <c r="C46">
        <v>29.276334762573239</v>
      </c>
      <c r="D46">
        <f t="shared" si="0"/>
        <v>1.7236652374267614</v>
      </c>
      <c r="E46">
        <f t="shared" si="1"/>
        <v>1.0407466888427699</v>
      </c>
      <c r="F46" s="2">
        <v>1</v>
      </c>
      <c r="G46" s="2">
        <v>3</v>
      </c>
      <c r="H46">
        <v>203</v>
      </c>
    </row>
    <row r="47" spans="1:8" x14ac:dyDescent="0.25">
      <c r="A47" t="s">
        <v>48</v>
      </c>
      <c r="B47">
        <v>31</v>
      </c>
      <c r="C47">
        <v>28.235588073730469</v>
      </c>
      <c r="D47">
        <f t="shared" si="0"/>
        <v>2.7644119262695313</v>
      </c>
      <c r="E47" t="str">
        <f t="shared" si="1"/>
        <v/>
      </c>
      <c r="F47" s="2">
        <v>1</v>
      </c>
      <c r="G47" s="2">
        <v>3</v>
      </c>
      <c r="H47">
        <v>203</v>
      </c>
    </row>
    <row r="48" spans="1:8" x14ac:dyDescent="0.25">
      <c r="A48" t="s">
        <v>49</v>
      </c>
      <c r="B48">
        <v>31</v>
      </c>
      <c r="C48">
        <v>26.969598770141602</v>
      </c>
      <c r="D48">
        <f t="shared" si="0"/>
        <v>4.0304012298583984</v>
      </c>
      <c r="E48">
        <f t="shared" si="1"/>
        <v>1.9303112030029297</v>
      </c>
      <c r="F48" s="2">
        <v>1</v>
      </c>
      <c r="G48" s="2">
        <v>3</v>
      </c>
      <c r="H48">
        <v>204</v>
      </c>
    </row>
    <row r="49" spans="1:8" x14ac:dyDescent="0.25">
      <c r="A49" t="s">
        <v>50</v>
      </c>
      <c r="B49">
        <v>31</v>
      </c>
      <c r="C49">
        <v>28.899909973144531</v>
      </c>
      <c r="D49">
        <f t="shared" si="0"/>
        <v>2.1000900268554688</v>
      </c>
      <c r="E49" t="str">
        <f t="shared" si="1"/>
        <v/>
      </c>
      <c r="F49" s="2">
        <v>1</v>
      </c>
      <c r="G49" s="2">
        <v>3</v>
      </c>
      <c r="H49">
        <v>204</v>
      </c>
    </row>
    <row r="50" spans="1:8" x14ac:dyDescent="0.25">
      <c r="A50" t="s">
        <v>51</v>
      </c>
      <c r="B50">
        <v>31</v>
      </c>
      <c r="C50">
        <v>27.02249908447266</v>
      </c>
      <c r="D50">
        <f t="shared" si="0"/>
        <v>3.9775009155273402</v>
      </c>
      <c r="E50">
        <f t="shared" si="1"/>
        <v>0.22558212280273082</v>
      </c>
      <c r="F50" s="2">
        <v>1</v>
      </c>
      <c r="G50" s="2">
        <v>3</v>
      </c>
      <c r="H50">
        <v>205</v>
      </c>
    </row>
    <row r="51" spans="1:8" x14ac:dyDescent="0.25">
      <c r="A51" t="s">
        <v>52</v>
      </c>
      <c r="B51">
        <v>31</v>
      </c>
      <c r="C51">
        <v>27.248081207275391</v>
      </c>
      <c r="D51">
        <f t="shared" si="0"/>
        <v>3.7519187927246094</v>
      </c>
      <c r="E51" t="str">
        <f t="shared" si="1"/>
        <v/>
      </c>
      <c r="F51" s="2">
        <v>1</v>
      </c>
      <c r="G51" s="2">
        <v>3</v>
      </c>
      <c r="H51">
        <v>205</v>
      </c>
    </row>
    <row r="52" spans="1:8" x14ac:dyDescent="0.25">
      <c r="A52" t="s">
        <v>53</v>
      </c>
      <c r="B52">
        <v>31</v>
      </c>
      <c r="C52">
        <v>27.429080963134769</v>
      </c>
      <c r="D52">
        <f t="shared" si="0"/>
        <v>3.5709190368652308</v>
      </c>
      <c r="E52">
        <f t="shared" si="1"/>
        <v>0.65008163452148793</v>
      </c>
      <c r="F52" s="2">
        <v>1</v>
      </c>
      <c r="G52" s="2">
        <v>3</v>
      </c>
      <c r="H52">
        <v>206</v>
      </c>
    </row>
    <row r="53" spans="1:8" x14ac:dyDescent="0.25">
      <c r="A53" t="s">
        <v>54</v>
      </c>
      <c r="B53">
        <v>31</v>
      </c>
      <c r="C53">
        <v>26.778999328613281</v>
      </c>
      <c r="D53">
        <f t="shared" si="0"/>
        <v>4.2210006713867188</v>
      </c>
      <c r="E53" t="str">
        <f t="shared" si="1"/>
        <v/>
      </c>
      <c r="F53" s="2">
        <v>1</v>
      </c>
      <c r="G53" s="2">
        <v>3</v>
      </c>
      <c r="H53">
        <v>206</v>
      </c>
    </row>
    <row r="54" spans="1:8" x14ac:dyDescent="0.25">
      <c r="A54" t="s">
        <v>55</v>
      </c>
      <c r="B54">
        <v>31</v>
      </c>
      <c r="C54">
        <v>27.216228485107418</v>
      </c>
      <c r="D54">
        <f t="shared" si="0"/>
        <v>3.7837715148925817</v>
      </c>
      <c r="E54">
        <f t="shared" si="1"/>
        <v>0.79746627807617188</v>
      </c>
      <c r="F54" s="2">
        <v>1</v>
      </c>
      <c r="G54" s="2">
        <v>3</v>
      </c>
      <c r="H54">
        <v>207</v>
      </c>
    </row>
    <row r="55" spans="1:8" x14ac:dyDescent="0.25">
      <c r="A55" t="s">
        <v>56</v>
      </c>
      <c r="B55">
        <v>31</v>
      </c>
      <c r="C55">
        <v>28.01369476318359</v>
      </c>
      <c r="D55">
        <f t="shared" si="0"/>
        <v>2.9863052368164098</v>
      </c>
      <c r="E55" t="str">
        <f t="shared" si="1"/>
        <v/>
      </c>
      <c r="F55" s="2">
        <v>1</v>
      </c>
      <c r="G55" s="2">
        <v>3</v>
      </c>
      <c r="H55">
        <v>207</v>
      </c>
    </row>
    <row r="56" spans="1:8" x14ac:dyDescent="0.25">
      <c r="A56" t="s">
        <v>57</v>
      </c>
      <c r="B56">
        <v>31</v>
      </c>
      <c r="C56">
        <v>27.221565246582031</v>
      </c>
      <c r="D56">
        <f t="shared" si="0"/>
        <v>3.7784347534179688</v>
      </c>
      <c r="E56">
        <f t="shared" si="1"/>
        <v>4.0083999633789098</v>
      </c>
      <c r="F56" s="2">
        <v>1</v>
      </c>
      <c r="G56" s="2">
        <v>3</v>
      </c>
      <c r="H56">
        <v>208</v>
      </c>
    </row>
    <row r="57" spans="1:8" x14ac:dyDescent="0.25">
      <c r="A57" t="s">
        <v>58</v>
      </c>
      <c r="B57">
        <v>31</v>
      </c>
      <c r="C57">
        <v>31.229965209960941</v>
      </c>
      <c r="D57">
        <f t="shared" si="0"/>
        <v>0.22996520996094105</v>
      </c>
      <c r="E57" t="str">
        <f t="shared" si="1"/>
        <v/>
      </c>
      <c r="F57" s="2">
        <v>1</v>
      </c>
      <c r="G57" s="2">
        <v>3</v>
      </c>
      <c r="H57">
        <v>208</v>
      </c>
    </row>
    <row r="58" spans="1:8" x14ac:dyDescent="0.25">
      <c r="A58" t="s">
        <v>59</v>
      </c>
      <c r="B58">
        <v>31</v>
      </c>
      <c r="C58">
        <v>28.76546478271484</v>
      </c>
      <c r="D58">
        <f t="shared" si="0"/>
        <v>2.2345352172851598</v>
      </c>
      <c r="E58">
        <f t="shared" si="1"/>
        <v>1.8744144439697301</v>
      </c>
      <c r="F58" s="2">
        <v>1</v>
      </c>
      <c r="G58" s="2">
        <v>3</v>
      </c>
      <c r="H58">
        <v>209</v>
      </c>
    </row>
    <row r="59" spans="1:8" x14ac:dyDescent="0.25">
      <c r="A59" t="s">
        <v>60</v>
      </c>
      <c r="B59">
        <v>31</v>
      </c>
      <c r="C59">
        <v>30.63987922668457</v>
      </c>
      <c r="D59">
        <f t="shared" si="0"/>
        <v>0.36012077331542969</v>
      </c>
      <c r="E59" t="str">
        <f t="shared" si="1"/>
        <v/>
      </c>
      <c r="F59" s="2">
        <v>1</v>
      </c>
      <c r="G59" s="2">
        <v>3</v>
      </c>
      <c r="H59">
        <v>209</v>
      </c>
    </row>
    <row r="60" spans="1:8" x14ac:dyDescent="0.25">
      <c r="A60" t="s">
        <v>61</v>
      </c>
      <c r="B60">
        <v>31</v>
      </c>
      <c r="C60">
        <v>29.5388069152832</v>
      </c>
      <c r="D60">
        <f t="shared" si="0"/>
        <v>1.4611930847168004</v>
      </c>
      <c r="E60">
        <f t="shared" si="1"/>
        <v>4.0289497375488317</v>
      </c>
      <c r="F60" s="2">
        <v>1</v>
      </c>
      <c r="G60" s="2">
        <v>3</v>
      </c>
      <c r="H60">
        <v>210</v>
      </c>
    </row>
    <row r="61" spans="1:8" x14ac:dyDescent="0.25">
      <c r="A61" t="s">
        <v>62</v>
      </c>
      <c r="B61">
        <v>31</v>
      </c>
      <c r="C61">
        <v>33.567756652832031</v>
      </c>
      <c r="D61">
        <f t="shared" si="0"/>
        <v>2.5677566528320313</v>
      </c>
      <c r="E61" t="str">
        <f t="shared" si="1"/>
        <v/>
      </c>
      <c r="F61" s="2">
        <v>1</v>
      </c>
      <c r="G61" s="2">
        <v>3</v>
      </c>
      <c r="H61">
        <v>210</v>
      </c>
    </row>
    <row r="62" spans="1:8" x14ac:dyDescent="0.25">
      <c r="A62" t="s">
        <v>63</v>
      </c>
      <c r="B62">
        <v>31</v>
      </c>
      <c r="C62">
        <v>29.17148399353027</v>
      </c>
      <c r="D62">
        <f t="shared" si="0"/>
        <v>1.8285160064697301</v>
      </c>
      <c r="E62">
        <f t="shared" si="1"/>
        <v>1.7462005615234304</v>
      </c>
      <c r="F62" s="2">
        <v>1</v>
      </c>
      <c r="G62" s="2">
        <v>3</v>
      </c>
      <c r="H62">
        <v>211</v>
      </c>
    </row>
    <row r="63" spans="1:8" x14ac:dyDescent="0.25">
      <c r="A63" t="s">
        <v>64</v>
      </c>
      <c r="B63">
        <v>31</v>
      </c>
      <c r="C63">
        <v>27.425283432006839</v>
      </c>
      <c r="D63">
        <f t="shared" si="0"/>
        <v>3.5747165679931605</v>
      </c>
      <c r="E63" t="str">
        <f t="shared" si="1"/>
        <v/>
      </c>
      <c r="F63" s="2">
        <v>1</v>
      </c>
      <c r="G63" s="2">
        <v>3</v>
      </c>
      <c r="H63">
        <v>211</v>
      </c>
    </row>
    <row r="64" spans="1:8" x14ac:dyDescent="0.25">
      <c r="A64" t="s">
        <v>65</v>
      </c>
      <c r="B64">
        <v>31</v>
      </c>
      <c r="C64">
        <v>27.701248168945309</v>
      </c>
      <c r="D64">
        <f t="shared" si="0"/>
        <v>3.2987518310546911</v>
      </c>
      <c r="E64">
        <f t="shared" si="1"/>
        <v>2.1953201293945313</v>
      </c>
      <c r="F64" s="2">
        <v>1</v>
      </c>
      <c r="G64" s="2">
        <v>3</v>
      </c>
      <c r="H64">
        <v>212</v>
      </c>
    </row>
    <row r="65" spans="1:8" x14ac:dyDescent="0.25">
      <c r="A65" t="s">
        <v>66</v>
      </c>
      <c r="B65">
        <v>31</v>
      </c>
      <c r="C65">
        <v>29.89656829833984</v>
      </c>
      <c r="D65">
        <f t="shared" si="0"/>
        <v>1.1034317016601598</v>
      </c>
      <c r="E65" t="str">
        <f t="shared" si="1"/>
        <v/>
      </c>
      <c r="F65" s="2">
        <v>1</v>
      </c>
      <c r="G65" s="2">
        <v>3</v>
      </c>
      <c r="H65">
        <v>212</v>
      </c>
    </row>
    <row r="66" spans="1:8" x14ac:dyDescent="0.25">
      <c r="A66" t="s">
        <v>67</v>
      </c>
      <c r="B66">
        <v>31</v>
      </c>
      <c r="C66">
        <v>30.427360534667969</v>
      </c>
      <c r="D66">
        <f t="shared" si="0"/>
        <v>0.57263946533203125</v>
      </c>
      <c r="E66">
        <f t="shared" si="1"/>
        <v>4.6292037963867188</v>
      </c>
      <c r="F66" s="2">
        <v>1</v>
      </c>
      <c r="G66" s="2">
        <v>3</v>
      </c>
      <c r="H66">
        <v>213</v>
      </c>
    </row>
    <row r="67" spans="1:8" x14ac:dyDescent="0.25">
      <c r="A67" t="s">
        <v>68</v>
      </c>
      <c r="B67">
        <v>31</v>
      </c>
      <c r="C67">
        <v>25.79815673828125</v>
      </c>
      <c r="D67">
        <f t="shared" ref="D67:D121" si="2">ABS(C67-B67)</f>
        <v>5.20184326171875</v>
      </c>
      <c r="E67" t="str">
        <f t="shared" ref="E67:E121" si="3">IF(MOD(ROW(),2)=0,ABS(C67-C68),"")</f>
        <v/>
      </c>
      <c r="F67" s="2">
        <v>1</v>
      </c>
      <c r="G67" s="2">
        <v>3</v>
      </c>
      <c r="H67">
        <v>213</v>
      </c>
    </row>
    <row r="68" spans="1:8" x14ac:dyDescent="0.25">
      <c r="A68" t="s">
        <v>69</v>
      </c>
      <c r="B68">
        <v>31</v>
      </c>
      <c r="C68">
        <v>26.694707870483398</v>
      </c>
      <c r="D68">
        <f t="shared" si="2"/>
        <v>4.3052921295166016</v>
      </c>
      <c r="E68">
        <f t="shared" si="3"/>
        <v>0.37937736511230113</v>
      </c>
      <c r="F68" s="2">
        <v>1</v>
      </c>
      <c r="G68" s="2">
        <v>3</v>
      </c>
      <c r="H68">
        <v>214</v>
      </c>
    </row>
    <row r="69" spans="1:8" x14ac:dyDescent="0.25">
      <c r="A69" t="s">
        <v>70</v>
      </c>
      <c r="B69">
        <v>31</v>
      </c>
      <c r="C69">
        <v>27.0740852355957</v>
      </c>
      <c r="D69">
        <f t="shared" si="2"/>
        <v>3.9259147644043004</v>
      </c>
      <c r="E69" t="str">
        <f t="shared" si="3"/>
        <v/>
      </c>
      <c r="F69" s="2">
        <v>1</v>
      </c>
      <c r="G69" s="2">
        <v>3</v>
      </c>
      <c r="H69">
        <v>214</v>
      </c>
    </row>
    <row r="70" spans="1:8" x14ac:dyDescent="0.25">
      <c r="A70" t="s">
        <v>71</v>
      </c>
      <c r="B70">
        <v>31</v>
      </c>
      <c r="C70">
        <v>30.035577774047852</v>
      </c>
      <c r="D70">
        <f t="shared" si="2"/>
        <v>0.96442222595214844</v>
      </c>
      <c r="E70">
        <f t="shared" si="3"/>
        <v>0.74641418457030895</v>
      </c>
      <c r="F70" s="2">
        <v>1</v>
      </c>
      <c r="G70" s="2">
        <v>3</v>
      </c>
      <c r="H70">
        <v>215</v>
      </c>
    </row>
    <row r="71" spans="1:8" x14ac:dyDescent="0.25">
      <c r="A71" t="s">
        <v>72</v>
      </c>
      <c r="B71">
        <v>31</v>
      </c>
      <c r="C71">
        <v>30.781991958618161</v>
      </c>
      <c r="D71">
        <f t="shared" si="2"/>
        <v>0.21800804138183949</v>
      </c>
      <c r="E71" t="str">
        <f t="shared" si="3"/>
        <v/>
      </c>
      <c r="F71" s="2">
        <v>1</v>
      </c>
      <c r="G71" s="2">
        <v>3</v>
      </c>
      <c r="H71">
        <v>215</v>
      </c>
    </row>
    <row r="72" spans="1:8" x14ac:dyDescent="0.25">
      <c r="A72" t="s">
        <v>73</v>
      </c>
      <c r="B72">
        <v>31</v>
      </c>
      <c r="C72">
        <v>28.143466949462891</v>
      </c>
      <c r="D72">
        <f t="shared" si="2"/>
        <v>2.8565330505371094</v>
      </c>
      <c r="E72">
        <f t="shared" si="3"/>
        <v>1.7220497131347692</v>
      </c>
      <c r="F72" s="2">
        <v>1</v>
      </c>
      <c r="G72" s="2">
        <v>3</v>
      </c>
      <c r="H72">
        <v>216</v>
      </c>
    </row>
    <row r="73" spans="1:8" x14ac:dyDescent="0.25">
      <c r="A73" t="s">
        <v>74</v>
      </c>
      <c r="B73">
        <v>31</v>
      </c>
      <c r="C73">
        <v>26.421417236328121</v>
      </c>
      <c r="D73">
        <f t="shared" si="2"/>
        <v>4.5785827636718786</v>
      </c>
      <c r="E73" t="str">
        <f t="shared" si="3"/>
        <v/>
      </c>
      <c r="F73" s="2">
        <v>1</v>
      </c>
      <c r="G73" s="2">
        <v>3</v>
      </c>
      <c r="H73">
        <v>216</v>
      </c>
    </row>
    <row r="74" spans="1:8" x14ac:dyDescent="0.25">
      <c r="A74" t="s">
        <v>75</v>
      </c>
      <c r="B74">
        <v>31</v>
      </c>
      <c r="C74">
        <v>27.67934608459473</v>
      </c>
      <c r="D74">
        <f t="shared" si="2"/>
        <v>3.3206539154052699</v>
      </c>
      <c r="E74">
        <f t="shared" si="3"/>
        <v>0.85739326477050071</v>
      </c>
      <c r="F74" s="2">
        <v>1</v>
      </c>
      <c r="G74" s="2">
        <v>3</v>
      </c>
      <c r="H74">
        <v>217</v>
      </c>
    </row>
    <row r="75" spans="1:8" x14ac:dyDescent="0.25">
      <c r="A75" t="s">
        <v>76</v>
      </c>
      <c r="B75">
        <v>31</v>
      </c>
      <c r="C75">
        <v>28.536739349365231</v>
      </c>
      <c r="D75">
        <f t="shared" si="2"/>
        <v>2.4632606506347692</v>
      </c>
      <c r="E75" t="str">
        <f t="shared" si="3"/>
        <v/>
      </c>
      <c r="F75" s="2">
        <v>1</v>
      </c>
      <c r="G75" s="2">
        <v>3</v>
      </c>
      <c r="H75">
        <v>217</v>
      </c>
    </row>
    <row r="76" spans="1:8" x14ac:dyDescent="0.25">
      <c r="A76" t="s">
        <v>77</v>
      </c>
      <c r="B76">
        <v>31</v>
      </c>
      <c r="C76">
        <v>29.496456146240231</v>
      </c>
      <c r="D76">
        <f t="shared" si="2"/>
        <v>1.5035438537597692</v>
      </c>
      <c r="E76">
        <f t="shared" si="3"/>
        <v>1.3915615081787109</v>
      </c>
      <c r="F76" s="2">
        <v>1</v>
      </c>
      <c r="G76" s="2">
        <v>3</v>
      </c>
      <c r="H76">
        <v>218</v>
      </c>
    </row>
    <row r="77" spans="1:8" x14ac:dyDescent="0.25">
      <c r="A77" t="s">
        <v>78</v>
      </c>
      <c r="B77">
        <v>31</v>
      </c>
      <c r="C77">
        <v>28.10489463806152</v>
      </c>
      <c r="D77">
        <f t="shared" si="2"/>
        <v>2.8951053619384801</v>
      </c>
      <c r="E77" t="str">
        <f t="shared" si="3"/>
        <v/>
      </c>
      <c r="F77" s="2">
        <v>1</v>
      </c>
      <c r="G77" s="2">
        <v>3</v>
      </c>
      <c r="H77">
        <v>218</v>
      </c>
    </row>
    <row r="78" spans="1:8" x14ac:dyDescent="0.25">
      <c r="A78" t="s">
        <v>79</v>
      </c>
      <c r="B78">
        <v>31</v>
      </c>
      <c r="C78">
        <v>27.05256462097168</v>
      </c>
      <c r="D78">
        <f t="shared" si="2"/>
        <v>3.9474353790283203</v>
      </c>
      <c r="E78">
        <f t="shared" si="3"/>
        <v>4.1930866241455114</v>
      </c>
      <c r="F78" s="2">
        <v>1</v>
      </c>
      <c r="G78" s="2">
        <v>3</v>
      </c>
      <c r="H78">
        <v>219</v>
      </c>
    </row>
    <row r="79" spans="1:8" x14ac:dyDescent="0.25">
      <c r="A79" t="s">
        <v>80</v>
      </c>
      <c r="B79">
        <v>31</v>
      </c>
      <c r="C79">
        <v>31.245651245117191</v>
      </c>
      <c r="D79">
        <f t="shared" si="2"/>
        <v>0.24565124511719105</v>
      </c>
      <c r="E79" t="str">
        <f t="shared" si="3"/>
        <v/>
      </c>
      <c r="F79" s="2">
        <v>1</v>
      </c>
      <c r="G79" s="2">
        <v>3</v>
      </c>
      <c r="H79">
        <v>219</v>
      </c>
    </row>
    <row r="80" spans="1:8" x14ac:dyDescent="0.25">
      <c r="A80" t="s">
        <v>81</v>
      </c>
      <c r="B80">
        <v>31</v>
      </c>
      <c r="C80">
        <v>31.62738037109375</v>
      </c>
      <c r="D80">
        <f t="shared" si="2"/>
        <v>0.62738037109375</v>
      </c>
      <c r="E80">
        <f t="shared" si="3"/>
        <v>3.5565910339355504</v>
      </c>
      <c r="F80" s="2">
        <v>1</v>
      </c>
      <c r="G80" s="2">
        <v>3</v>
      </c>
      <c r="H80">
        <v>220</v>
      </c>
    </row>
    <row r="81" spans="1:8" x14ac:dyDescent="0.25">
      <c r="A81" t="s">
        <v>82</v>
      </c>
      <c r="B81">
        <v>31</v>
      </c>
      <c r="C81">
        <v>28.0707893371582</v>
      </c>
      <c r="D81">
        <f t="shared" si="2"/>
        <v>2.9292106628418004</v>
      </c>
      <c r="E81" t="str">
        <f t="shared" si="3"/>
        <v/>
      </c>
      <c r="F81" s="2">
        <v>1</v>
      </c>
      <c r="G81" s="2">
        <v>3</v>
      </c>
      <c r="H81">
        <v>220</v>
      </c>
    </row>
    <row r="82" spans="1:8" x14ac:dyDescent="0.25">
      <c r="A82" t="s">
        <v>83</v>
      </c>
      <c r="B82">
        <v>30</v>
      </c>
      <c r="C82">
        <v>27.772052764892582</v>
      </c>
      <c r="D82">
        <f t="shared" si="2"/>
        <v>2.2279472351074183</v>
      </c>
      <c r="E82">
        <f t="shared" si="3"/>
        <v>1.74212646484375</v>
      </c>
      <c r="F82" s="2">
        <v>2</v>
      </c>
      <c r="G82" s="2">
        <v>3</v>
      </c>
      <c r="H82">
        <v>301</v>
      </c>
    </row>
    <row r="83" spans="1:8" x14ac:dyDescent="0.25">
      <c r="A83" t="s">
        <v>84</v>
      </c>
      <c r="B83">
        <v>30</v>
      </c>
      <c r="C83">
        <v>29.514179229736332</v>
      </c>
      <c r="D83">
        <f t="shared" si="2"/>
        <v>0.48582077026366832</v>
      </c>
      <c r="E83" t="str">
        <f t="shared" si="3"/>
        <v/>
      </c>
      <c r="F83" s="2">
        <v>2</v>
      </c>
      <c r="G83" s="2">
        <v>3</v>
      </c>
      <c r="H83">
        <v>301</v>
      </c>
    </row>
    <row r="84" spans="1:8" x14ac:dyDescent="0.25">
      <c r="A84" t="s">
        <v>85</v>
      </c>
      <c r="B84">
        <v>30</v>
      </c>
      <c r="C84">
        <v>30.311931610107418</v>
      </c>
      <c r="D84">
        <f t="shared" si="2"/>
        <v>0.31193161010741832</v>
      </c>
      <c r="E84">
        <f t="shared" si="3"/>
        <v>0.15531539916991832</v>
      </c>
      <c r="F84" s="2">
        <v>2</v>
      </c>
      <c r="G84" s="2">
        <v>3</v>
      </c>
      <c r="H84">
        <v>302</v>
      </c>
    </row>
    <row r="85" spans="1:8" x14ac:dyDescent="0.25">
      <c r="A85" t="s">
        <v>86</v>
      </c>
      <c r="B85">
        <v>30</v>
      </c>
      <c r="C85">
        <v>30.1566162109375</v>
      </c>
      <c r="D85">
        <f t="shared" si="2"/>
        <v>0.1566162109375</v>
      </c>
      <c r="E85" t="str">
        <f t="shared" si="3"/>
        <v/>
      </c>
      <c r="F85" s="2">
        <v>2</v>
      </c>
      <c r="G85" s="2">
        <v>3</v>
      </c>
      <c r="H85">
        <v>302</v>
      </c>
    </row>
    <row r="86" spans="1:8" x14ac:dyDescent="0.25">
      <c r="A86" t="s">
        <v>207</v>
      </c>
      <c r="B86">
        <v>30</v>
      </c>
      <c r="C86">
        <v>36.910720825195313</v>
      </c>
      <c r="D86">
        <f t="shared" si="2"/>
        <v>6.9107208251953125</v>
      </c>
      <c r="E86">
        <f t="shared" si="3"/>
        <v>11.560356140136722</v>
      </c>
      <c r="F86" s="2">
        <v>2</v>
      </c>
      <c r="G86" s="2">
        <v>3</v>
      </c>
      <c r="H86">
        <v>303</v>
      </c>
    </row>
    <row r="87" spans="1:8" x14ac:dyDescent="0.25">
      <c r="A87" t="s">
        <v>88</v>
      </c>
      <c r="B87">
        <v>30</v>
      </c>
      <c r="C87">
        <v>25.35036468505859</v>
      </c>
      <c r="D87">
        <f t="shared" si="2"/>
        <v>4.6496353149414098</v>
      </c>
      <c r="E87" t="str">
        <f t="shared" si="3"/>
        <v/>
      </c>
      <c r="F87" s="2">
        <v>2</v>
      </c>
      <c r="G87" s="2">
        <v>3</v>
      </c>
      <c r="H87">
        <v>303</v>
      </c>
    </row>
    <row r="88" spans="1:8" x14ac:dyDescent="0.25">
      <c r="A88" t="s">
        <v>89</v>
      </c>
      <c r="B88">
        <v>30</v>
      </c>
      <c r="C88">
        <v>25.453010559082031</v>
      </c>
      <c r="D88">
        <f t="shared" si="2"/>
        <v>4.5469894409179688</v>
      </c>
      <c r="E88">
        <f t="shared" si="3"/>
        <v>1.1499710083007777</v>
      </c>
      <c r="F88" s="2">
        <v>2</v>
      </c>
      <c r="G88" s="2">
        <v>3</v>
      </c>
      <c r="H88">
        <v>304</v>
      </c>
    </row>
    <row r="89" spans="1:8" x14ac:dyDescent="0.25">
      <c r="A89" t="s">
        <v>90</v>
      </c>
      <c r="B89">
        <v>30</v>
      </c>
      <c r="C89">
        <v>26.602981567382809</v>
      </c>
      <c r="D89">
        <f t="shared" si="2"/>
        <v>3.3970184326171911</v>
      </c>
      <c r="E89" t="str">
        <f t="shared" si="3"/>
        <v/>
      </c>
      <c r="F89" s="2">
        <v>2</v>
      </c>
      <c r="G89" s="2">
        <v>3</v>
      </c>
      <c r="H89">
        <v>304</v>
      </c>
    </row>
    <row r="90" spans="1:8" x14ac:dyDescent="0.25">
      <c r="A90" t="s">
        <v>91</v>
      </c>
      <c r="B90">
        <v>30</v>
      </c>
      <c r="C90">
        <v>30.235420227050781</v>
      </c>
      <c r="D90">
        <f t="shared" si="2"/>
        <v>0.23542022705078125</v>
      </c>
      <c r="E90">
        <f t="shared" si="3"/>
        <v>1.3155422210693324</v>
      </c>
      <c r="F90" s="2">
        <v>2</v>
      </c>
      <c r="G90" s="2">
        <v>3</v>
      </c>
      <c r="H90">
        <v>305</v>
      </c>
    </row>
    <row r="91" spans="1:8" x14ac:dyDescent="0.25">
      <c r="A91" t="s">
        <v>92</v>
      </c>
      <c r="B91">
        <v>30</v>
      </c>
      <c r="C91">
        <v>28.919878005981449</v>
      </c>
      <c r="D91">
        <f t="shared" si="2"/>
        <v>1.0801219940185511</v>
      </c>
      <c r="E91" t="str">
        <f t="shared" si="3"/>
        <v/>
      </c>
      <c r="F91" s="2">
        <v>2</v>
      </c>
      <c r="G91" s="2">
        <v>3</v>
      </c>
      <c r="H91">
        <v>305</v>
      </c>
    </row>
    <row r="92" spans="1:8" x14ac:dyDescent="0.25">
      <c r="A92" t="s">
        <v>93</v>
      </c>
      <c r="B92">
        <v>30</v>
      </c>
      <c r="C92">
        <v>31.240583419799801</v>
      </c>
      <c r="D92">
        <f t="shared" si="2"/>
        <v>1.2405834197998011</v>
      </c>
      <c r="E92">
        <f t="shared" si="3"/>
        <v>3.2862396240234304</v>
      </c>
      <c r="F92" s="2">
        <v>2</v>
      </c>
      <c r="G92" s="2">
        <v>3</v>
      </c>
      <c r="H92">
        <v>306</v>
      </c>
    </row>
    <row r="93" spans="1:8" x14ac:dyDescent="0.25">
      <c r="A93" t="s">
        <v>94</v>
      </c>
      <c r="B93">
        <v>30</v>
      </c>
      <c r="C93">
        <v>27.954343795776371</v>
      </c>
      <c r="D93">
        <f t="shared" si="2"/>
        <v>2.0456562042236293</v>
      </c>
      <c r="E93" t="str">
        <f t="shared" si="3"/>
        <v/>
      </c>
      <c r="F93" s="2">
        <v>2</v>
      </c>
      <c r="G93" s="2">
        <v>3</v>
      </c>
      <c r="H93">
        <v>306</v>
      </c>
    </row>
    <row r="94" spans="1:8" x14ac:dyDescent="0.25">
      <c r="A94" t="s">
        <v>95</v>
      </c>
      <c r="B94">
        <v>30</v>
      </c>
      <c r="C94">
        <v>27.529800415039059</v>
      </c>
      <c r="D94">
        <f t="shared" si="2"/>
        <v>2.4701995849609411</v>
      </c>
      <c r="E94">
        <f t="shared" si="3"/>
        <v>4.8163337707519638</v>
      </c>
      <c r="F94" s="2">
        <v>2</v>
      </c>
      <c r="G94" s="2">
        <v>3</v>
      </c>
      <c r="H94">
        <v>307</v>
      </c>
    </row>
    <row r="95" spans="1:8" x14ac:dyDescent="0.25">
      <c r="A95" t="s">
        <v>96</v>
      </c>
      <c r="B95">
        <v>30</v>
      </c>
      <c r="C95">
        <v>32.346134185791023</v>
      </c>
      <c r="D95">
        <f t="shared" si="2"/>
        <v>2.3461341857910227</v>
      </c>
      <c r="E95" t="str">
        <f t="shared" si="3"/>
        <v/>
      </c>
      <c r="F95" s="2">
        <v>2</v>
      </c>
      <c r="G95" s="2">
        <v>3</v>
      </c>
      <c r="H95">
        <v>307</v>
      </c>
    </row>
    <row r="96" spans="1:8" x14ac:dyDescent="0.25">
      <c r="A96" t="s">
        <v>97</v>
      </c>
      <c r="B96">
        <v>30</v>
      </c>
      <c r="C96">
        <v>28.450422286987301</v>
      </c>
      <c r="D96">
        <f t="shared" si="2"/>
        <v>1.5495777130126989</v>
      </c>
      <c r="E96">
        <f t="shared" si="3"/>
        <v>1.4688205718994176</v>
      </c>
      <c r="F96" s="2">
        <v>2</v>
      </c>
      <c r="G96" s="2">
        <v>3</v>
      </c>
      <c r="H96">
        <v>308</v>
      </c>
    </row>
    <row r="97" spans="1:8" x14ac:dyDescent="0.25">
      <c r="A97" t="s">
        <v>98</v>
      </c>
      <c r="B97">
        <v>30</v>
      </c>
      <c r="C97">
        <v>29.919242858886719</v>
      </c>
      <c r="D97">
        <f t="shared" si="2"/>
        <v>8.075714111328125E-2</v>
      </c>
      <c r="E97" t="str">
        <f t="shared" si="3"/>
        <v/>
      </c>
      <c r="F97" s="2">
        <v>2</v>
      </c>
      <c r="G97" s="2">
        <v>3</v>
      </c>
      <c r="H97">
        <v>308</v>
      </c>
    </row>
    <row r="98" spans="1:8" x14ac:dyDescent="0.25">
      <c r="A98" t="s">
        <v>99</v>
      </c>
      <c r="B98">
        <v>30</v>
      </c>
      <c r="C98">
        <v>31.89287185668945</v>
      </c>
      <c r="D98">
        <f t="shared" si="2"/>
        <v>1.8928718566894496</v>
      </c>
      <c r="E98">
        <f t="shared" si="3"/>
        <v>3.4166755676269496</v>
      </c>
      <c r="F98" s="2">
        <v>2</v>
      </c>
      <c r="G98" s="2">
        <v>3</v>
      </c>
      <c r="H98">
        <v>309</v>
      </c>
    </row>
    <row r="99" spans="1:8" x14ac:dyDescent="0.25">
      <c r="A99" t="s">
        <v>100</v>
      </c>
      <c r="B99">
        <v>30</v>
      </c>
      <c r="C99">
        <v>28.4761962890625</v>
      </c>
      <c r="D99">
        <f t="shared" si="2"/>
        <v>1.5238037109375</v>
      </c>
      <c r="E99" t="str">
        <f t="shared" si="3"/>
        <v/>
      </c>
      <c r="F99" s="2">
        <v>2</v>
      </c>
      <c r="G99" s="2">
        <v>3</v>
      </c>
      <c r="H99">
        <v>309</v>
      </c>
    </row>
    <row r="100" spans="1:8" x14ac:dyDescent="0.25">
      <c r="A100" t="s">
        <v>101</v>
      </c>
      <c r="B100">
        <v>30</v>
      </c>
      <c r="C100">
        <v>31.777248382568359</v>
      </c>
      <c r="D100">
        <f t="shared" si="2"/>
        <v>1.7772483825683594</v>
      </c>
      <c r="E100">
        <f t="shared" si="3"/>
        <v>0.99337387084960938</v>
      </c>
      <c r="F100" s="2">
        <v>2</v>
      </c>
      <c r="G100" s="2">
        <v>3</v>
      </c>
      <c r="H100">
        <v>310</v>
      </c>
    </row>
    <row r="101" spans="1:8" x14ac:dyDescent="0.25">
      <c r="A101" t="s">
        <v>102</v>
      </c>
      <c r="B101">
        <v>30</v>
      </c>
      <c r="C101">
        <v>32.770622253417969</v>
      </c>
      <c r="D101">
        <f t="shared" si="2"/>
        <v>2.7706222534179688</v>
      </c>
      <c r="E101" t="str">
        <f t="shared" si="3"/>
        <v/>
      </c>
      <c r="F101" s="2">
        <v>2</v>
      </c>
      <c r="G101" s="2">
        <v>3</v>
      </c>
      <c r="H101">
        <v>310</v>
      </c>
    </row>
    <row r="102" spans="1:8" x14ac:dyDescent="0.25">
      <c r="A102" t="s">
        <v>103</v>
      </c>
      <c r="B102">
        <v>30</v>
      </c>
      <c r="C102">
        <v>30.268451690673832</v>
      </c>
      <c r="D102">
        <f t="shared" si="2"/>
        <v>0.26845169067383168</v>
      </c>
      <c r="E102">
        <f t="shared" si="3"/>
        <v>1.8621101379394531</v>
      </c>
      <c r="F102" s="2">
        <v>2</v>
      </c>
      <c r="G102" s="2">
        <v>3</v>
      </c>
      <c r="H102">
        <v>311</v>
      </c>
    </row>
    <row r="103" spans="1:8" x14ac:dyDescent="0.25">
      <c r="A103" t="s">
        <v>104</v>
      </c>
      <c r="B103">
        <v>30</v>
      </c>
      <c r="C103">
        <v>28.406341552734379</v>
      </c>
      <c r="D103">
        <f t="shared" si="2"/>
        <v>1.5936584472656214</v>
      </c>
      <c r="E103" t="str">
        <f t="shared" si="3"/>
        <v/>
      </c>
      <c r="F103" s="2">
        <v>2</v>
      </c>
      <c r="G103" s="2">
        <v>3</v>
      </c>
      <c r="H103">
        <v>311</v>
      </c>
    </row>
    <row r="104" spans="1:8" x14ac:dyDescent="0.25">
      <c r="A104" t="s">
        <v>105</v>
      </c>
      <c r="B104">
        <v>30</v>
      </c>
      <c r="C104">
        <v>33.413509368896477</v>
      </c>
      <c r="D104">
        <f t="shared" si="2"/>
        <v>3.4135093688964773</v>
      </c>
      <c r="E104">
        <f t="shared" si="3"/>
        <v>3.9129066467285085</v>
      </c>
      <c r="F104" s="2">
        <v>2</v>
      </c>
      <c r="G104" s="2">
        <v>3</v>
      </c>
      <c r="H104">
        <v>312</v>
      </c>
    </row>
    <row r="105" spans="1:8" x14ac:dyDescent="0.25">
      <c r="A105" t="s">
        <v>106</v>
      </c>
      <c r="B105">
        <v>30</v>
      </c>
      <c r="C105">
        <v>29.500602722167969</v>
      </c>
      <c r="D105">
        <f t="shared" si="2"/>
        <v>0.49939727783203125</v>
      </c>
      <c r="E105" t="str">
        <f t="shared" si="3"/>
        <v/>
      </c>
      <c r="F105" s="2">
        <v>2</v>
      </c>
      <c r="G105" s="2">
        <v>3</v>
      </c>
      <c r="H105">
        <v>312</v>
      </c>
    </row>
    <row r="106" spans="1:8" x14ac:dyDescent="0.25">
      <c r="A106" t="s">
        <v>107</v>
      </c>
      <c r="B106">
        <v>30</v>
      </c>
      <c r="C106">
        <v>28.50628662109375</v>
      </c>
      <c r="D106">
        <f t="shared" si="2"/>
        <v>1.49371337890625</v>
      </c>
      <c r="E106">
        <f t="shared" si="3"/>
        <v>1.3971595764160192</v>
      </c>
      <c r="F106" s="2">
        <v>2</v>
      </c>
      <c r="G106" s="2">
        <v>3</v>
      </c>
      <c r="H106">
        <v>313</v>
      </c>
    </row>
    <row r="107" spans="1:8" x14ac:dyDescent="0.25">
      <c r="A107" t="s">
        <v>108</v>
      </c>
      <c r="B107">
        <v>30</v>
      </c>
      <c r="C107">
        <v>27.109127044677731</v>
      </c>
      <c r="D107">
        <f t="shared" si="2"/>
        <v>2.8908729553222692</v>
      </c>
      <c r="E107" t="str">
        <f t="shared" si="3"/>
        <v/>
      </c>
      <c r="F107" s="2">
        <v>2</v>
      </c>
      <c r="G107" s="2">
        <v>3</v>
      </c>
      <c r="H107">
        <v>313</v>
      </c>
    </row>
    <row r="108" spans="1:8" x14ac:dyDescent="0.25">
      <c r="A108" t="s">
        <v>109</v>
      </c>
      <c r="B108">
        <v>30</v>
      </c>
      <c r="C108">
        <v>31.231479644775391</v>
      </c>
      <c r="D108">
        <f t="shared" si="2"/>
        <v>1.2314796447753906</v>
      </c>
      <c r="E108">
        <f t="shared" si="3"/>
        <v>5.0048618316650391</v>
      </c>
      <c r="F108" s="2">
        <v>2</v>
      </c>
      <c r="G108" s="2">
        <v>3</v>
      </c>
      <c r="H108">
        <v>314</v>
      </c>
    </row>
    <row r="109" spans="1:8" x14ac:dyDescent="0.25">
      <c r="A109" t="s">
        <v>110</v>
      </c>
      <c r="B109">
        <v>30</v>
      </c>
      <c r="C109">
        <v>26.226617813110352</v>
      </c>
      <c r="D109">
        <f t="shared" si="2"/>
        <v>3.7733821868896484</v>
      </c>
      <c r="E109" t="str">
        <f t="shared" si="3"/>
        <v/>
      </c>
      <c r="F109" s="2">
        <v>2</v>
      </c>
      <c r="G109" s="2">
        <v>3</v>
      </c>
      <c r="H109">
        <v>314</v>
      </c>
    </row>
    <row r="110" spans="1:8" x14ac:dyDescent="0.25">
      <c r="A110" t="s">
        <v>111</v>
      </c>
      <c r="B110">
        <v>30</v>
      </c>
      <c r="C110">
        <v>36.308425903320313</v>
      </c>
      <c r="D110">
        <f t="shared" si="2"/>
        <v>6.3084259033203125</v>
      </c>
      <c r="E110">
        <f t="shared" si="3"/>
        <v>5.4880504608154332</v>
      </c>
      <c r="F110" s="2">
        <v>2</v>
      </c>
      <c r="G110" s="2">
        <v>3</v>
      </c>
      <c r="H110">
        <v>315</v>
      </c>
    </row>
    <row r="111" spans="1:8" x14ac:dyDescent="0.25">
      <c r="A111" t="s">
        <v>112</v>
      </c>
      <c r="B111">
        <v>30</v>
      </c>
      <c r="C111">
        <v>30.820375442504879</v>
      </c>
      <c r="D111">
        <f t="shared" si="2"/>
        <v>0.82037544250487926</v>
      </c>
      <c r="E111" t="str">
        <f t="shared" si="3"/>
        <v/>
      </c>
      <c r="F111" s="2">
        <v>2</v>
      </c>
      <c r="G111" s="2">
        <v>3</v>
      </c>
      <c r="H111">
        <v>315</v>
      </c>
    </row>
    <row r="112" spans="1:8" x14ac:dyDescent="0.25">
      <c r="A112" t="s">
        <v>113</v>
      </c>
      <c r="B112">
        <v>30</v>
      </c>
      <c r="C112">
        <v>36.82550048828125</v>
      </c>
      <c r="D112">
        <f t="shared" si="2"/>
        <v>6.82550048828125</v>
      </c>
      <c r="E112">
        <f t="shared" si="3"/>
        <v>4.7910842895507813</v>
      </c>
      <c r="F112" s="2">
        <v>2</v>
      </c>
      <c r="G112" s="2">
        <v>3</v>
      </c>
      <c r="H112">
        <v>316</v>
      </c>
    </row>
    <row r="113" spans="1:8" x14ac:dyDescent="0.25">
      <c r="A113" t="s">
        <v>114</v>
      </c>
      <c r="B113">
        <v>30</v>
      </c>
      <c r="C113">
        <v>32.034416198730469</v>
      </c>
      <c r="D113">
        <f t="shared" si="2"/>
        <v>2.0344161987304688</v>
      </c>
      <c r="E113" t="str">
        <f t="shared" si="3"/>
        <v/>
      </c>
      <c r="F113" s="2">
        <v>2</v>
      </c>
      <c r="G113" s="2">
        <v>3</v>
      </c>
      <c r="H113">
        <v>316</v>
      </c>
    </row>
    <row r="114" spans="1:8" x14ac:dyDescent="0.25">
      <c r="A114" t="s">
        <v>115</v>
      </c>
      <c r="B114">
        <v>30</v>
      </c>
      <c r="C114">
        <v>33.201995849609382</v>
      </c>
      <c r="D114">
        <f t="shared" si="2"/>
        <v>3.2019958496093821</v>
      </c>
      <c r="E114">
        <f t="shared" si="3"/>
        <v>0.57518386840821023</v>
      </c>
      <c r="F114" s="2">
        <v>2</v>
      </c>
      <c r="G114" s="2">
        <v>3</v>
      </c>
      <c r="H114">
        <v>317</v>
      </c>
    </row>
    <row r="115" spans="1:8" x14ac:dyDescent="0.25">
      <c r="A115" t="s">
        <v>116</v>
      </c>
      <c r="B115">
        <v>30</v>
      </c>
      <c r="C115">
        <v>32.626811981201172</v>
      </c>
      <c r="D115">
        <f t="shared" si="2"/>
        <v>2.6268119812011719</v>
      </c>
      <c r="E115" t="str">
        <f t="shared" si="3"/>
        <v/>
      </c>
      <c r="F115" s="2">
        <v>2</v>
      </c>
      <c r="G115" s="2">
        <v>3</v>
      </c>
      <c r="H115">
        <v>317</v>
      </c>
    </row>
    <row r="116" spans="1:8" x14ac:dyDescent="0.25">
      <c r="A116" t="s">
        <v>117</v>
      </c>
      <c r="B116">
        <v>30</v>
      </c>
      <c r="C116">
        <v>34.980239868164063</v>
      </c>
      <c r="D116">
        <f t="shared" si="2"/>
        <v>4.9802398681640625</v>
      </c>
      <c r="E116">
        <f t="shared" si="3"/>
        <v>3.0265769958496129</v>
      </c>
      <c r="F116" s="2">
        <v>2</v>
      </c>
      <c r="G116" s="2">
        <v>3</v>
      </c>
      <c r="H116">
        <v>318</v>
      </c>
    </row>
    <row r="117" spans="1:8" x14ac:dyDescent="0.25">
      <c r="A117" t="s">
        <v>118</v>
      </c>
      <c r="B117">
        <v>30</v>
      </c>
      <c r="C117">
        <v>31.95366287231445</v>
      </c>
      <c r="D117">
        <f t="shared" si="2"/>
        <v>1.9536628723144496</v>
      </c>
      <c r="E117" t="str">
        <f t="shared" si="3"/>
        <v/>
      </c>
      <c r="F117" s="2">
        <v>2</v>
      </c>
      <c r="G117" s="2">
        <v>3</v>
      </c>
      <c r="H117">
        <v>318</v>
      </c>
    </row>
    <row r="118" spans="1:8" x14ac:dyDescent="0.25">
      <c r="A118" t="s">
        <v>119</v>
      </c>
      <c r="B118">
        <v>30</v>
      </c>
      <c r="C118">
        <v>31.160367965698239</v>
      </c>
      <c r="D118">
        <f t="shared" si="2"/>
        <v>1.1603679656982386</v>
      </c>
      <c r="E118">
        <f t="shared" si="3"/>
        <v>5.0187129974365199</v>
      </c>
      <c r="F118" s="2">
        <v>2</v>
      </c>
      <c r="G118" s="2">
        <v>3</v>
      </c>
      <c r="H118">
        <v>319</v>
      </c>
    </row>
    <row r="119" spans="1:8" x14ac:dyDescent="0.25">
      <c r="A119" t="s">
        <v>120</v>
      </c>
      <c r="B119">
        <v>30</v>
      </c>
      <c r="C119">
        <v>26.141654968261719</v>
      </c>
      <c r="D119">
        <f t="shared" si="2"/>
        <v>3.8583450317382813</v>
      </c>
      <c r="E119" t="str">
        <f t="shared" si="3"/>
        <v/>
      </c>
      <c r="F119" s="2">
        <v>2</v>
      </c>
      <c r="G119" s="2">
        <v>3</v>
      </c>
      <c r="H119">
        <v>319</v>
      </c>
    </row>
    <row r="120" spans="1:8" x14ac:dyDescent="0.25">
      <c r="A120" t="s">
        <v>121</v>
      </c>
      <c r="B120">
        <v>30</v>
      </c>
      <c r="C120">
        <v>28.505311965942379</v>
      </c>
      <c r="D120">
        <f t="shared" si="2"/>
        <v>1.4946880340576207</v>
      </c>
      <c r="E120">
        <f t="shared" si="3"/>
        <v>2.4903163909912109</v>
      </c>
      <c r="F120" s="2">
        <v>2</v>
      </c>
      <c r="G120" s="2">
        <v>3</v>
      </c>
      <c r="H120">
        <v>320</v>
      </c>
    </row>
    <row r="121" spans="1:8" x14ac:dyDescent="0.25">
      <c r="A121" t="s">
        <v>122</v>
      </c>
      <c r="B121">
        <v>30</v>
      </c>
      <c r="C121">
        <v>30.99562835693359</v>
      </c>
      <c r="D121">
        <f t="shared" si="2"/>
        <v>0.9956283569335902</v>
      </c>
      <c r="E121" t="str">
        <f t="shared" si="3"/>
        <v/>
      </c>
      <c r="F121" s="2">
        <v>2</v>
      </c>
      <c r="G121" s="2">
        <v>3</v>
      </c>
      <c r="H121">
        <v>320</v>
      </c>
    </row>
  </sheetData>
  <phoneticPr fontId="2" type="noConversion"/>
  <conditionalFormatting sqref="E2:E121">
    <cfRule type="cellIs" dxfId="2" priority="1" operator="between">
      <formula>1000</formula>
      <formula>6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3"/>
  <sheetViews>
    <sheetView topLeftCell="A16" workbookViewId="0">
      <selection activeCell="D44" sqref="D44"/>
    </sheetView>
  </sheetViews>
  <sheetFormatPr defaultRowHeight="15.75" x14ac:dyDescent="0.25"/>
  <cols>
    <col min="1" max="1" width="12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231</v>
      </c>
      <c r="E1" s="1" t="s">
        <v>206</v>
      </c>
      <c r="F1" s="1" t="s">
        <v>232</v>
      </c>
      <c r="G1" s="1" t="s">
        <v>233</v>
      </c>
      <c r="H1" s="1" t="s">
        <v>210</v>
      </c>
    </row>
    <row r="2" spans="1:8" x14ac:dyDescent="0.25">
      <c r="A2" t="s">
        <v>123</v>
      </c>
      <c r="B2">
        <v>28</v>
      </c>
      <c r="C2">
        <v>35.595039367675781</v>
      </c>
      <c r="D2">
        <f>ABS(C2-B2)</f>
        <v>7.5950393676757813</v>
      </c>
      <c r="E2">
        <f>IF(COUNTIF($H:$H,H2)=2,ABS(C2-_xlfn.XLOOKUP(H2,$H:$H,$C:$C,"",0,-1)),"")</f>
        <v>0.34571075439453125</v>
      </c>
      <c r="F2">
        <v>2</v>
      </c>
      <c r="G2">
        <v>3</v>
      </c>
      <c r="H2">
        <v>113</v>
      </c>
    </row>
    <row r="3" spans="1:8" x14ac:dyDescent="0.25">
      <c r="A3" t="s">
        <v>124</v>
      </c>
      <c r="B3">
        <v>28</v>
      </c>
      <c r="C3">
        <v>35.940750122070313</v>
      </c>
      <c r="D3">
        <f t="shared" ref="D3:D43" si="0">ABS(C3-B3)</f>
        <v>7.9407501220703125</v>
      </c>
      <c r="E3">
        <f t="shared" ref="E3:E43" si="1">IF(COUNTIF($H:$H,H3)=2,ABS(C3-_xlfn.XLOOKUP(H3,$H:$H,$C:$C,"",0,-1)),"")</f>
        <v>0</v>
      </c>
      <c r="F3">
        <v>2</v>
      </c>
      <c r="G3">
        <v>3</v>
      </c>
      <c r="H3">
        <v>113</v>
      </c>
    </row>
    <row r="4" spans="1:8" x14ac:dyDescent="0.25">
      <c r="A4" t="s">
        <v>125</v>
      </c>
      <c r="B4">
        <v>30</v>
      </c>
      <c r="C4">
        <v>34.219623565673828</v>
      </c>
      <c r="D4">
        <f t="shared" si="0"/>
        <v>4.2196235656738281</v>
      </c>
      <c r="E4">
        <f t="shared" si="1"/>
        <v>0.83620452880860086</v>
      </c>
      <c r="F4">
        <v>1</v>
      </c>
      <c r="G4">
        <v>3</v>
      </c>
      <c r="H4">
        <v>127</v>
      </c>
    </row>
    <row r="5" spans="1:8" x14ac:dyDescent="0.25">
      <c r="A5" t="s">
        <v>126</v>
      </c>
      <c r="B5">
        <v>30</v>
      </c>
      <c r="C5">
        <v>33.383419036865227</v>
      </c>
      <c r="D5">
        <f t="shared" si="0"/>
        <v>3.3834190368652273</v>
      </c>
      <c r="E5">
        <f t="shared" si="1"/>
        <v>0</v>
      </c>
      <c r="F5">
        <v>1</v>
      </c>
      <c r="G5">
        <v>3</v>
      </c>
      <c r="H5">
        <v>127</v>
      </c>
    </row>
    <row r="6" spans="1:8" x14ac:dyDescent="0.25">
      <c r="A6" t="s">
        <v>127</v>
      </c>
      <c r="B6">
        <v>28</v>
      </c>
      <c r="C6">
        <v>36.606346130371087</v>
      </c>
      <c r="D6">
        <f t="shared" si="0"/>
        <v>8.6063461303710866</v>
      </c>
      <c r="E6">
        <f t="shared" si="1"/>
        <v>0.30301666259766336</v>
      </c>
      <c r="F6">
        <v>1</v>
      </c>
      <c r="G6">
        <v>3</v>
      </c>
      <c r="H6">
        <v>142</v>
      </c>
    </row>
    <row r="7" spans="1:8" x14ac:dyDescent="0.25">
      <c r="A7" t="s">
        <v>128</v>
      </c>
      <c r="B7">
        <v>28</v>
      </c>
      <c r="C7">
        <v>36.90936279296875</v>
      </c>
      <c r="D7">
        <f t="shared" si="0"/>
        <v>8.90936279296875</v>
      </c>
      <c r="E7">
        <f t="shared" si="1"/>
        <v>0</v>
      </c>
      <c r="F7">
        <v>1</v>
      </c>
      <c r="G7">
        <v>3</v>
      </c>
      <c r="H7">
        <v>142</v>
      </c>
    </row>
    <row r="8" spans="1:8" x14ac:dyDescent="0.25">
      <c r="A8" t="s">
        <v>129</v>
      </c>
      <c r="B8">
        <v>26</v>
      </c>
      <c r="C8">
        <v>31.5692138671875</v>
      </c>
      <c r="D8">
        <f t="shared" si="0"/>
        <v>5.5692138671875</v>
      </c>
      <c r="E8">
        <f t="shared" si="1"/>
        <v>1.6617507934570313</v>
      </c>
      <c r="F8">
        <v>2</v>
      </c>
      <c r="G8">
        <v>3</v>
      </c>
      <c r="H8">
        <v>239</v>
      </c>
    </row>
    <row r="9" spans="1:8" x14ac:dyDescent="0.25">
      <c r="A9" t="s">
        <v>130</v>
      </c>
      <c r="B9">
        <v>26</v>
      </c>
      <c r="C9">
        <v>33.230964660644531</v>
      </c>
      <c r="D9">
        <f t="shared" si="0"/>
        <v>7.2309646606445313</v>
      </c>
      <c r="E9">
        <f t="shared" si="1"/>
        <v>0</v>
      </c>
      <c r="F9">
        <v>2</v>
      </c>
      <c r="G9">
        <v>3</v>
      </c>
      <c r="H9">
        <v>239</v>
      </c>
    </row>
    <row r="10" spans="1:8" x14ac:dyDescent="0.25">
      <c r="A10" t="s">
        <v>131</v>
      </c>
      <c r="B10">
        <v>22</v>
      </c>
      <c r="C10">
        <v>28.801921844482418</v>
      </c>
      <c r="D10">
        <f t="shared" si="0"/>
        <v>6.8019218444824183</v>
      </c>
      <c r="E10">
        <f t="shared" si="1"/>
        <v>1.5358924865722585</v>
      </c>
      <c r="F10">
        <v>2</v>
      </c>
      <c r="G10">
        <v>3</v>
      </c>
      <c r="H10">
        <v>346</v>
      </c>
    </row>
    <row r="11" spans="1:8" x14ac:dyDescent="0.25">
      <c r="A11" t="s">
        <v>132</v>
      </c>
      <c r="B11">
        <v>22</v>
      </c>
      <c r="C11">
        <v>27.26602935791016</v>
      </c>
      <c r="D11">
        <f t="shared" si="0"/>
        <v>5.2660293579101598</v>
      </c>
      <c r="E11">
        <f t="shared" si="1"/>
        <v>0</v>
      </c>
      <c r="F11">
        <v>2</v>
      </c>
      <c r="G11">
        <v>3</v>
      </c>
      <c r="H11">
        <v>346</v>
      </c>
    </row>
    <row r="12" spans="1:8" x14ac:dyDescent="0.25">
      <c r="A12" t="s">
        <v>133</v>
      </c>
      <c r="B12">
        <v>26</v>
      </c>
      <c r="C12">
        <v>26.458864212036129</v>
      </c>
      <c r="D12">
        <f t="shared" si="0"/>
        <v>0.45886421203612926</v>
      </c>
      <c r="E12">
        <f t="shared" si="1"/>
        <v>1.4864120483398402</v>
      </c>
      <c r="F12">
        <v>1</v>
      </c>
      <c r="G12">
        <v>3</v>
      </c>
      <c r="H12">
        <v>422</v>
      </c>
    </row>
    <row r="13" spans="1:8" x14ac:dyDescent="0.25">
      <c r="A13" t="s">
        <v>134</v>
      </c>
      <c r="B13">
        <v>26</v>
      </c>
      <c r="C13">
        <v>24.972452163696289</v>
      </c>
      <c r="D13">
        <f t="shared" si="0"/>
        <v>1.0275478363037109</v>
      </c>
      <c r="E13">
        <f t="shared" si="1"/>
        <v>0</v>
      </c>
      <c r="F13">
        <v>1</v>
      </c>
      <c r="G13">
        <v>3</v>
      </c>
      <c r="H13">
        <v>422</v>
      </c>
    </row>
    <row r="14" spans="1:8" x14ac:dyDescent="0.25">
      <c r="A14" t="s">
        <v>135</v>
      </c>
      <c r="B14">
        <v>26</v>
      </c>
      <c r="C14">
        <v>34.484344482421882</v>
      </c>
      <c r="D14">
        <f t="shared" si="0"/>
        <v>8.4843444824218821</v>
      </c>
      <c r="E14">
        <f t="shared" si="1"/>
        <v>0.89615631103514914</v>
      </c>
      <c r="F14">
        <v>1</v>
      </c>
      <c r="G14">
        <v>3</v>
      </c>
      <c r="H14">
        <v>492</v>
      </c>
    </row>
    <row r="15" spans="1:8" x14ac:dyDescent="0.25">
      <c r="A15" t="s">
        <v>136</v>
      </c>
      <c r="B15">
        <v>26</v>
      </c>
      <c r="C15">
        <v>35.380500793457031</v>
      </c>
      <c r="D15">
        <f t="shared" si="0"/>
        <v>9.3805007934570313</v>
      </c>
      <c r="E15">
        <f t="shared" si="1"/>
        <v>0</v>
      </c>
      <c r="F15">
        <v>1</v>
      </c>
      <c r="G15">
        <v>3</v>
      </c>
      <c r="H15">
        <v>492</v>
      </c>
    </row>
    <row r="16" spans="1:8" x14ac:dyDescent="0.25">
      <c r="A16" t="s">
        <v>137</v>
      </c>
      <c r="B16">
        <v>23</v>
      </c>
      <c r="C16">
        <v>59.663433074951172</v>
      </c>
      <c r="D16">
        <f t="shared" si="0"/>
        <v>36.663433074951172</v>
      </c>
      <c r="E16">
        <f t="shared" si="1"/>
        <v>0.53996658325195313</v>
      </c>
      <c r="F16">
        <v>2</v>
      </c>
      <c r="G16">
        <v>3</v>
      </c>
      <c r="H16">
        <v>502</v>
      </c>
    </row>
    <row r="17" spans="1:8" x14ac:dyDescent="0.25">
      <c r="A17" t="s">
        <v>138</v>
      </c>
      <c r="B17">
        <v>23</v>
      </c>
      <c r="C17">
        <v>59.123466491699219</v>
      </c>
      <c r="D17">
        <f t="shared" si="0"/>
        <v>36.123466491699219</v>
      </c>
      <c r="E17">
        <f t="shared" si="1"/>
        <v>0</v>
      </c>
      <c r="F17">
        <v>2</v>
      </c>
      <c r="G17">
        <v>3</v>
      </c>
      <c r="H17">
        <v>502</v>
      </c>
    </row>
    <row r="18" spans="1:8" x14ac:dyDescent="0.25">
      <c r="A18" t="s">
        <v>139</v>
      </c>
      <c r="B18">
        <v>42</v>
      </c>
      <c r="C18">
        <v>55.411460876464837</v>
      </c>
      <c r="D18">
        <f t="shared" si="0"/>
        <v>13.411460876464837</v>
      </c>
      <c r="E18">
        <f t="shared" si="1"/>
        <v>0.56690216064452414</v>
      </c>
      <c r="F18">
        <v>2</v>
      </c>
      <c r="G18">
        <v>3</v>
      </c>
      <c r="H18">
        <v>505</v>
      </c>
    </row>
    <row r="19" spans="1:8" x14ac:dyDescent="0.25">
      <c r="A19" t="s">
        <v>140</v>
      </c>
      <c r="B19">
        <v>42</v>
      </c>
      <c r="C19">
        <v>54.844558715820313</v>
      </c>
      <c r="D19">
        <f t="shared" si="0"/>
        <v>12.844558715820313</v>
      </c>
      <c r="E19">
        <f t="shared" si="1"/>
        <v>0</v>
      </c>
      <c r="F19">
        <v>2</v>
      </c>
      <c r="G19">
        <v>3</v>
      </c>
      <c r="H19">
        <v>505</v>
      </c>
    </row>
    <row r="20" spans="1:8" x14ac:dyDescent="0.25">
      <c r="A20" t="s">
        <v>141</v>
      </c>
      <c r="B20">
        <v>32</v>
      </c>
      <c r="C20">
        <v>34.983177185058587</v>
      </c>
      <c r="D20">
        <f t="shared" si="0"/>
        <v>2.9831771850585866</v>
      </c>
      <c r="E20">
        <f t="shared" si="1"/>
        <v>1.513916015625</v>
      </c>
      <c r="F20">
        <v>1</v>
      </c>
      <c r="G20">
        <v>3</v>
      </c>
      <c r="H20">
        <v>656</v>
      </c>
    </row>
    <row r="21" spans="1:8" x14ac:dyDescent="0.25">
      <c r="A21" t="s">
        <v>142</v>
      </c>
      <c r="B21">
        <v>32</v>
      </c>
      <c r="C21">
        <v>36.497093200683587</v>
      </c>
      <c r="D21">
        <f t="shared" si="0"/>
        <v>4.4970932006835866</v>
      </c>
      <c r="E21">
        <f t="shared" si="1"/>
        <v>0</v>
      </c>
      <c r="F21">
        <v>1</v>
      </c>
      <c r="G21">
        <v>3</v>
      </c>
      <c r="H21">
        <v>656</v>
      </c>
    </row>
    <row r="22" spans="1:8" x14ac:dyDescent="0.25">
      <c r="A22" t="s">
        <v>143</v>
      </c>
      <c r="B22">
        <v>30</v>
      </c>
      <c r="C22">
        <v>26.76346588134766</v>
      </c>
      <c r="D22">
        <f t="shared" si="0"/>
        <v>3.2365341186523402</v>
      </c>
      <c r="E22">
        <f t="shared" si="1"/>
        <v>0.38128471374511008</v>
      </c>
      <c r="F22">
        <v>2</v>
      </c>
      <c r="G22">
        <v>3</v>
      </c>
      <c r="H22">
        <v>679</v>
      </c>
    </row>
    <row r="23" spans="1:8" x14ac:dyDescent="0.25">
      <c r="A23" t="s">
        <v>144</v>
      </c>
      <c r="B23">
        <v>30</v>
      </c>
      <c r="C23">
        <v>27.14475059509277</v>
      </c>
      <c r="D23">
        <f t="shared" si="0"/>
        <v>2.8552494049072301</v>
      </c>
      <c r="E23">
        <f t="shared" si="1"/>
        <v>0</v>
      </c>
      <c r="F23">
        <v>2</v>
      </c>
      <c r="G23">
        <v>3</v>
      </c>
      <c r="H23">
        <v>679</v>
      </c>
    </row>
    <row r="24" spans="1:8" x14ac:dyDescent="0.25">
      <c r="A24" t="s">
        <v>145</v>
      </c>
      <c r="B24">
        <v>49</v>
      </c>
      <c r="C24">
        <v>32.499691009521477</v>
      </c>
      <c r="D24">
        <f t="shared" si="0"/>
        <v>16.500308990478523</v>
      </c>
      <c r="E24">
        <f t="shared" si="1"/>
        <v>5.1424903869629048</v>
      </c>
      <c r="F24">
        <v>2</v>
      </c>
      <c r="G24">
        <v>3</v>
      </c>
      <c r="H24">
        <v>742</v>
      </c>
    </row>
    <row r="25" spans="1:8" x14ac:dyDescent="0.25">
      <c r="A25" t="s">
        <v>146</v>
      </c>
      <c r="B25">
        <v>49</v>
      </c>
      <c r="C25">
        <v>37.642181396484382</v>
      </c>
      <c r="D25">
        <f t="shared" si="0"/>
        <v>11.357818603515618</v>
      </c>
      <c r="E25">
        <f t="shared" si="1"/>
        <v>0</v>
      </c>
      <c r="F25">
        <v>2</v>
      </c>
      <c r="G25">
        <v>3</v>
      </c>
      <c r="H25">
        <v>742</v>
      </c>
    </row>
    <row r="26" spans="1:8" x14ac:dyDescent="0.25">
      <c r="A26" t="s">
        <v>147</v>
      </c>
      <c r="B26">
        <v>29</v>
      </c>
      <c r="C26">
        <v>32.411205291748047</v>
      </c>
      <c r="D26">
        <f t="shared" si="0"/>
        <v>3.4112052917480469</v>
      </c>
      <c r="E26">
        <f t="shared" si="1"/>
        <v>5.794906616211648E-2</v>
      </c>
      <c r="F26">
        <v>2</v>
      </c>
      <c r="G26">
        <v>3</v>
      </c>
      <c r="H26">
        <v>800</v>
      </c>
    </row>
    <row r="27" spans="1:8" x14ac:dyDescent="0.25">
      <c r="A27" t="s">
        <v>148</v>
      </c>
      <c r="B27">
        <v>29</v>
      </c>
      <c r="C27">
        <v>32.469154357910163</v>
      </c>
      <c r="D27">
        <f t="shared" si="0"/>
        <v>3.4691543579101634</v>
      </c>
      <c r="E27">
        <f t="shared" si="1"/>
        <v>0</v>
      </c>
      <c r="F27">
        <v>2</v>
      </c>
      <c r="G27">
        <v>3</v>
      </c>
      <c r="H27">
        <v>800</v>
      </c>
    </row>
    <row r="28" spans="1:8" x14ac:dyDescent="0.25">
      <c r="A28" t="s">
        <v>149</v>
      </c>
      <c r="B28">
        <v>34</v>
      </c>
      <c r="C28">
        <v>37.049072265625</v>
      </c>
      <c r="D28">
        <f t="shared" si="0"/>
        <v>3.049072265625</v>
      </c>
      <c r="E28">
        <f t="shared" si="1"/>
        <v>0.60196685791016336</v>
      </c>
      <c r="F28">
        <v>1</v>
      </c>
      <c r="G28">
        <v>3</v>
      </c>
      <c r="H28">
        <v>814</v>
      </c>
    </row>
    <row r="29" spans="1:8" x14ac:dyDescent="0.25">
      <c r="A29" t="s">
        <v>150</v>
      </c>
      <c r="B29">
        <v>34</v>
      </c>
      <c r="C29">
        <v>37.651039123535163</v>
      </c>
      <c r="D29">
        <f t="shared" si="0"/>
        <v>3.6510391235351634</v>
      </c>
      <c r="E29">
        <f t="shared" si="1"/>
        <v>0</v>
      </c>
      <c r="F29">
        <v>1</v>
      </c>
      <c r="G29">
        <v>3</v>
      </c>
      <c r="H29">
        <v>814</v>
      </c>
    </row>
    <row r="30" spans="1:8" x14ac:dyDescent="0.25">
      <c r="A30" t="s">
        <v>151</v>
      </c>
      <c r="B30">
        <v>38</v>
      </c>
      <c r="C30">
        <v>44.347160339355469</v>
      </c>
      <c r="D30">
        <f t="shared" si="0"/>
        <v>6.3471603393554688</v>
      </c>
      <c r="E30">
        <f t="shared" si="1"/>
        <v>1.3216972351074219</v>
      </c>
      <c r="F30">
        <v>2</v>
      </c>
      <c r="G30">
        <v>3</v>
      </c>
      <c r="H30">
        <v>815</v>
      </c>
    </row>
    <row r="31" spans="1:8" x14ac:dyDescent="0.25">
      <c r="A31" t="s">
        <v>152</v>
      </c>
      <c r="B31">
        <v>38</v>
      </c>
      <c r="C31">
        <v>43.025463104248047</v>
      </c>
      <c r="D31">
        <f t="shared" si="0"/>
        <v>5.0254631042480469</v>
      </c>
      <c r="E31">
        <f t="shared" si="1"/>
        <v>0</v>
      </c>
      <c r="F31">
        <v>2</v>
      </c>
      <c r="G31">
        <v>3</v>
      </c>
      <c r="H31">
        <v>815</v>
      </c>
    </row>
    <row r="32" spans="1:8" x14ac:dyDescent="0.25">
      <c r="A32" t="s">
        <v>153</v>
      </c>
      <c r="B32">
        <v>25</v>
      </c>
      <c r="C32">
        <v>25.30278396606445</v>
      </c>
      <c r="D32">
        <f t="shared" si="0"/>
        <v>0.30278396606444957</v>
      </c>
      <c r="E32">
        <f t="shared" si="1"/>
        <v>2.4755287170410192</v>
      </c>
      <c r="F32">
        <v>1</v>
      </c>
      <c r="G32">
        <v>3</v>
      </c>
      <c r="H32">
        <v>849</v>
      </c>
    </row>
    <row r="33" spans="1:8" x14ac:dyDescent="0.25">
      <c r="A33" t="s">
        <v>154</v>
      </c>
      <c r="B33">
        <v>25</v>
      </c>
      <c r="C33">
        <v>27.778312683105469</v>
      </c>
      <c r="D33">
        <f t="shared" si="0"/>
        <v>2.7783126831054688</v>
      </c>
      <c r="E33">
        <f t="shared" si="1"/>
        <v>0</v>
      </c>
      <c r="F33">
        <v>1</v>
      </c>
      <c r="G33">
        <v>3</v>
      </c>
      <c r="H33">
        <v>849</v>
      </c>
    </row>
    <row r="34" spans="1:8" x14ac:dyDescent="0.25">
      <c r="A34" t="s">
        <v>155</v>
      </c>
      <c r="B34">
        <v>25</v>
      </c>
      <c r="C34">
        <v>28.81027984619141</v>
      </c>
      <c r="D34">
        <f t="shared" si="0"/>
        <v>3.8102798461914098</v>
      </c>
      <c r="E34">
        <f t="shared" si="1"/>
        <v>2.3398475646972692</v>
      </c>
      <c r="F34">
        <v>1</v>
      </c>
      <c r="G34">
        <v>3</v>
      </c>
      <c r="H34">
        <v>906</v>
      </c>
    </row>
    <row r="35" spans="1:8" x14ac:dyDescent="0.25">
      <c r="A35" t="s">
        <v>156</v>
      </c>
      <c r="B35">
        <v>25</v>
      </c>
      <c r="C35">
        <v>26.470432281494141</v>
      </c>
      <c r="D35">
        <f t="shared" si="0"/>
        <v>1.4704322814941406</v>
      </c>
      <c r="E35">
        <f t="shared" si="1"/>
        <v>0</v>
      </c>
      <c r="F35">
        <v>1</v>
      </c>
      <c r="G35">
        <v>3</v>
      </c>
      <c r="H35">
        <v>906</v>
      </c>
    </row>
    <row r="36" spans="1:8" x14ac:dyDescent="0.25">
      <c r="A36" t="s">
        <v>157</v>
      </c>
      <c r="B36">
        <v>25</v>
      </c>
      <c r="C36">
        <v>26.835819244384769</v>
      </c>
      <c r="D36">
        <f t="shared" si="0"/>
        <v>1.8358192443847692</v>
      </c>
      <c r="E36">
        <f t="shared" si="1"/>
        <v>3.1414756774902308</v>
      </c>
      <c r="F36">
        <v>1</v>
      </c>
      <c r="G36">
        <v>3</v>
      </c>
      <c r="H36">
        <v>913</v>
      </c>
    </row>
    <row r="37" spans="1:8" x14ac:dyDescent="0.25">
      <c r="A37" t="s">
        <v>158</v>
      </c>
      <c r="B37">
        <v>25</v>
      </c>
      <c r="C37">
        <v>29.977294921875</v>
      </c>
      <c r="D37">
        <f t="shared" si="0"/>
        <v>4.977294921875</v>
      </c>
      <c r="E37">
        <f t="shared" si="1"/>
        <v>0</v>
      </c>
      <c r="F37">
        <v>1</v>
      </c>
      <c r="G37">
        <v>3</v>
      </c>
      <c r="H37">
        <v>913</v>
      </c>
    </row>
    <row r="38" spans="1:8" x14ac:dyDescent="0.25">
      <c r="A38" t="s">
        <v>159</v>
      </c>
      <c r="B38">
        <v>30</v>
      </c>
      <c r="C38">
        <v>30.777091979980469</v>
      </c>
      <c r="D38">
        <f t="shared" si="0"/>
        <v>0.77709197998046875</v>
      </c>
      <c r="E38">
        <f t="shared" si="1"/>
        <v>2.10479736328125</v>
      </c>
      <c r="F38">
        <v>1</v>
      </c>
      <c r="G38">
        <v>3</v>
      </c>
      <c r="H38">
        <v>916</v>
      </c>
    </row>
    <row r="39" spans="1:8" x14ac:dyDescent="0.25">
      <c r="A39" t="s">
        <v>160</v>
      </c>
      <c r="B39">
        <v>30</v>
      </c>
      <c r="C39">
        <v>32.881889343261719</v>
      </c>
      <c r="D39">
        <f t="shared" si="0"/>
        <v>2.8818893432617188</v>
      </c>
      <c r="E39">
        <f t="shared" si="1"/>
        <v>0</v>
      </c>
      <c r="F39">
        <v>1</v>
      </c>
      <c r="G39">
        <v>3</v>
      </c>
      <c r="H39">
        <v>916</v>
      </c>
    </row>
    <row r="40" spans="1:8" x14ac:dyDescent="0.25">
      <c r="A40" t="s">
        <v>161</v>
      </c>
      <c r="B40">
        <v>61</v>
      </c>
      <c r="C40">
        <v>63.085929870605469</v>
      </c>
      <c r="D40">
        <f t="shared" si="0"/>
        <v>2.0859298706054688</v>
      </c>
      <c r="E40">
        <f t="shared" si="1"/>
        <v>0.78512573242186789</v>
      </c>
      <c r="F40">
        <v>2</v>
      </c>
      <c r="G40">
        <v>3</v>
      </c>
      <c r="H40">
        <v>934</v>
      </c>
    </row>
    <row r="41" spans="1:8" x14ac:dyDescent="0.25">
      <c r="A41" t="s">
        <v>162</v>
      </c>
      <c r="B41">
        <v>61</v>
      </c>
      <c r="C41">
        <v>63.871055603027337</v>
      </c>
      <c r="D41">
        <f t="shared" si="0"/>
        <v>2.8710556030273366</v>
      </c>
      <c r="E41">
        <f t="shared" si="1"/>
        <v>0</v>
      </c>
      <c r="F41">
        <v>2</v>
      </c>
      <c r="G41">
        <v>3</v>
      </c>
      <c r="H41">
        <v>934</v>
      </c>
    </row>
    <row r="42" spans="1:8" x14ac:dyDescent="0.25">
      <c r="A42" t="s">
        <v>163</v>
      </c>
      <c r="B42">
        <v>38</v>
      </c>
      <c r="C42">
        <v>37.226371765136719</v>
      </c>
      <c r="D42">
        <f t="shared" si="0"/>
        <v>0.77362823486328125</v>
      </c>
      <c r="E42">
        <f t="shared" si="1"/>
        <v>5.8489189147949183</v>
      </c>
      <c r="F42">
        <v>1</v>
      </c>
      <c r="G42">
        <v>3</v>
      </c>
      <c r="H42">
        <v>959</v>
      </c>
    </row>
    <row r="43" spans="1:8" x14ac:dyDescent="0.25">
      <c r="A43" t="s">
        <v>164</v>
      </c>
      <c r="B43">
        <v>38</v>
      </c>
      <c r="C43">
        <v>31.3774528503418</v>
      </c>
      <c r="D43">
        <f t="shared" si="0"/>
        <v>6.6225471496581996</v>
      </c>
      <c r="E43">
        <f t="shared" si="1"/>
        <v>0</v>
      </c>
      <c r="F43">
        <v>1</v>
      </c>
      <c r="G43">
        <v>3</v>
      </c>
      <c r="H43">
        <v>959</v>
      </c>
    </row>
  </sheetData>
  <phoneticPr fontId="2" type="noConversion"/>
  <conditionalFormatting sqref="E2:E43">
    <cfRule type="cellIs" dxfId="1" priority="1" operator="between">
      <formula>1000</formula>
      <formula>6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1"/>
  <sheetViews>
    <sheetView topLeftCell="A13" workbookViewId="0">
      <selection activeCell="D42" sqref="D42"/>
    </sheetView>
  </sheetViews>
  <sheetFormatPr defaultRowHeight="15.75" x14ac:dyDescent="0.25"/>
  <cols>
    <col min="1" max="1" width="17.7109375" bestFit="1" customWidth="1"/>
    <col min="2" max="2" width="10.5703125" bestFit="1" customWidth="1"/>
    <col min="3" max="3" width="15.5703125" bestFit="1" customWidth="1"/>
    <col min="4" max="5" width="13" bestFit="1" customWidth="1"/>
    <col min="6" max="6" width="27.140625" bestFit="1" customWidth="1"/>
    <col min="8" max="8" width="11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231</v>
      </c>
      <c r="E1" s="1" t="s">
        <v>206</v>
      </c>
      <c r="F1" s="1" t="s">
        <v>208</v>
      </c>
      <c r="G1" s="1" t="s">
        <v>209</v>
      </c>
      <c r="H1" s="1" t="s">
        <v>210</v>
      </c>
    </row>
    <row r="2" spans="1:8" x14ac:dyDescent="0.25">
      <c r="A2" t="s">
        <v>165</v>
      </c>
      <c r="B2">
        <v>20</v>
      </c>
      <c r="C2">
        <v>22.501983642578121</v>
      </c>
      <c r="D2">
        <f>ABS(C2-B2)</f>
        <v>2.5019836425781214</v>
      </c>
      <c r="E2">
        <f>IF(RIGHT(A2,3)="MR1",ABS(C2-_xlfn.XLOOKUP(SUBSTITUTE(A2,"_MR1","_MR2"),$A:$A,$C:$C)),"")</f>
        <v>0.62285041809082742</v>
      </c>
      <c r="F2">
        <v>2</v>
      </c>
      <c r="G2" s="2">
        <v>1.5</v>
      </c>
      <c r="H2" t="s">
        <v>211</v>
      </c>
    </row>
    <row r="3" spans="1:8" x14ac:dyDescent="0.25">
      <c r="A3" t="s">
        <v>166</v>
      </c>
      <c r="B3">
        <v>20</v>
      </c>
      <c r="C3">
        <v>23.124834060668949</v>
      </c>
      <c r="D3">
        <f t="shared" ref="D3:D41" si="0">ABS(C3-B3)</f>
        <v>3.1248340606689489</v>
      </c>
      <c r="E3" t="str">
        <f t="shared" ref="E3:E41" si="1">IF(RIGHT(A3,3)="MR1",ABS(C3-_xlfn.XLOOKUP(SUBSTITUTE(A3,"_MR1","_MR2"),$A:$A,$C:$C)),"")</f>
        <v/>
      </c>
      <c r="F3">
        <v>2</v>
      </c>
      <c r="G3" s="2">
        <v>1.5</v>
      </c>
      <c r="H3" t="s">
        <v>211</v>
      </c>
    </row>
    <row r="4" spans="1:8" x14ac:dyDescent="0.25">
      <c r="A4" t="s">
        <v>167</v>
      </c>
      <c r="B4">
        <v>25</v>
      </c>
      <c r="C4">
        <v>23.37839317321777</v>
      </c>
      <c r="D4">
        <f t="shared" si="0"/>
        <v>1.6216068267822301</v>
      </c>
      <c r="E4">
        <f t="shared" si="1"/>
        <v>0.71954536437988992</v>
      </c>
      <c r="F4">
        <v>2</v>
      </c>
      <c r="G4" s="2">
        <v>1.5</v>
      </c>
      <c r="H4" t="s">
        <v>212</v>
      </c>
    </row>
    <row r="5" spans="1:8" x14ac:dyDescent="0.25">
      <c r="A5" t="s">
        <v>168</v>
      </c>
      <c r="B5">
        <v>25</v>
      </c>
      <c r="C5">
        <v>24.09793853759766</v>
      </c>
      <c r="D5">
        <f t="shared" si="0"/>
        <v>0.9020614624023402</v>
      </c>
      <c r="E5" t="str">
        <f t="shared" si="1"/>
        <v/>
      </c>
      <c r="F5">
        <v>2</v>
      </c>
      <c r="G5" s="2">
        <v>1.5</v>
      </c>
      <c r="H5" t="s">
        <v>212</v>
      </c>
    </row>
    <row r="6" spans="1:8" x14ac:dyDescent="0.25">
      <c r="A6" t="s">
        <v>169</v>
      </c>
      <c r="B6">
        <v>22</v>
      </c>
      <c r="C6">
        <v>23.58286285400391</v>
      </c>
      <c r="D6">
        <f t="shared" si="0"/>
        <v>1.5828628540039098</v>
      </c>
      <c r="E6">
        <f t="shared" si="1"/>
        <v>0.96440696716308949</v>
      </c>
      <c r="F6">
        <v>1</v>
      </c>
      <c r="G6" s="2">
        <v>1.5</v>
      </c>
      <c r="H6" t="s">
        <v>213</v>
      </c>
    </row>
    <row r="7" spans="1:8" x14ac:dyDescent="0.25">
      <c r="A7" t="s">
        <v>170</v>
      </c>
      <c r="B7">
        <v>22</v>
      </c>
      <c r="C7">
        <v>22.61845588684082</v>
      </c>
      <c r="D7">
        <f t="shared" si="0"/>
        <v>0.61845588684082031</v>
      </c>
      <c r="E7" t="str">
        <f t="shared" si="1"/>
        <v/>
      </c>
      <c r="F7">
        <v>1</v>
      </c>
      <c r="G7" s="2">
        <v>1.5</v>
      </c>
      <c r="H7" t="s">
        <v>213</v>
      </c>
    </row>
    <row r="8" spans="1:8" x14ac:dyDescent="0.25">
      <c r="A8" t="s">
        <v>171</v>
      </c>
      <c r="B8">
        <v>29</v>
      </c>
      <c r="C8">
        <v>26.14768218994141</v>
      </c>
      <c r="D8">
        <f t="shared" si="0"/>
        <v>2.8523178100585902</v>
      </c>
      <c r="E8">
        <f t="shared" si="1"/>
        <v>0.50262451171875</v>
      </c>
      <c r="F8">
        <v>1</v>
      </c>
      <c r="G8" s="2">
        <v>1.5</v>
      </c>
      <c r="H8" t="s">
        <v>214</v>
      </c>
    </row>
    <row r="9" spans="1:8" x14ac:dyDescent="0.25">
      <c r="A9" t="s">
        <v>172</v>
      </c>
      <c r="B9">
        <v>29</v>
      </c>
      <c r="C9">
        <v>25.64505767822266</v>
      </c>
      <c r="D9">
        <f t="shared" si="0"/>
        <v>3.3549423217773402</v>
      </c>
      <c r="E9" t="str">
        <f t="shared" si="1"/>
        <v/>
      </c>
      <c r="F9">
        <v>1</v>
      </c>
      <c r="G9" s="2">
        <v>1.5</v>
      </c>
      <c r="H9" t="s">
        <v>214</v>
      </c>
    </row>
    <row r="10" spans="1:8" x14ac:dyDescent="0.25">
      <c r="A10" t="s">
        <v>173</v>
      </c>
      <c r="B10">
        <v>23</v>
      </c>
      <c r="C10">
        <v>24.8296012878418</v>
      </c>
      <c r="D10">
        <f t="shared" si="0"/>
        <v>1.8296012878418004</v>
      </c>
      <c r="E10">
        <f t="shared" si="1"/>
        <v>2.0979480743408203</v>
      </c>
      <c r="F10">
        <v>1</v>
      </c>
      <c r="G10" s="2">
        <v>1.5</v>
      </c>
      <c r="H10" t="s">
        <v>215</v>
      </c>
    </row>
    <row r="11" spans="1:8" x14ac:dyDescent="0.25">
      <c r="A11" t="s">
        <v>174</v>
      </c>
      <c r="B11">
        <v>23</v>
      </c>
      <c r="C11">
        <v>22.73165321350098</v>
      </c>
      <c r="D11">
        <f t="shared" si="0"/>
        <v>0.26834678649901988</v>
      </c>
      <c r="E11" t="str">
        <f t="shared" si="1"/>
        <v/>
      </c>
      <c r="F11">
        <v>1</v>
      </c>
      <c r="G11" s="2">
        <v>1.5</v>
      </c>
      <c r="H11" t="s">
        <v>215</v>
      </c>
    </row>
    <row r="12" spans="1:8" x14ac:dyDescent="0.25">
      <c r="A12" t="s">
        <v>175</v>
      </c>
      <c r="B12">
        <v>25</v>
      </c>
      <c r="C12">
        <v>22.491874694824219</v>
      </c>
      <c r="D12">
        <f t="shared" si="0"/>
        <v>2.5081253051757813</v>
      </c>
      <c r="E12">
        <f t="shared" si="1"/>
        <v>0.3516845703125</v>
      </c>
      <c r="F12">
        <v>1</v>
      </c>
      <c r="G12" s="2">
        <v>1.5</v>
      </c>
      <c r="H12" t="s">
        <v>216</v>
      </c>
    </row>
    <row r="13" spans="1:8" x14ac:dyDescent="0.25">
      <c r="A13" t="s">
        <v>176</v>
      </c>
      <c r="B13">
        <v>25</v>
      </c>
      <c r="C13">
        <v>22.140190124511719</v>
      </c>
      <c r="D13">
        <f t="shared" si="0"/>
        <v>2.8598098754882813</v>
      </c>
      <c r="E13" t="str">
        <f t="shared" si="1"/>
        <v/>
      </c>
      <c r="F13">
        <v>1</v>
      </c>
      <c r="G13" s="2">
        <v>1.5</v>
      </c>
      <c r="H13" t="s">
        <v>216</v>
      </c>
    </row>
    <row r="14" spans="1:8" x14ac:dyDescent="0.25">
      <c r="A14" t="s">
        <v>177</v>
      </c>
      <c r="B14">
        <v>34</v>
      </c>
      <c r="C14">
        <v>35.506629943847663</v>
      </c>
      <c r="D14">
        <f t="shared" si="0"/>
        <v>1.5066299438476634</v>
      </c>
      <c r="E14">
        <f t="shared" si="1"/>
        <v>4.9873123168945241</v>
      </c>
      <c r="F14">
        <v>1</v>
      </c>
      <c r="G14" s="2">
        <v>1.5</v>
      </c>
      <c r="H14" t="s">
        <v>217</v>
      </c>
    </row>
    <row r="15" spans="1:8" x14ac:dyDescent="0.25">
      <c r="A15" t="s">
        <v>178</v>
      </c>
      <c r="B15">
        <v>34</v>
      </c>
      <c r="C15">
        <v>40.493942260742188</v>
      </c>
      <c r="D15">
        <f t="shared" si="0"/>
        <v>6.4939422607421875</v>
      </c>
      <c r="E15" t="str">
        <f t="shared" si="1"/>
        <v/>
      </c>
      <c r="F15">
        <v>1</v>
      </c>
      <c r="G15" s="2">
        <v>1.5</v>
      </c>
      <c r="H15" t="s">
        <v>217</v>
      </c>
    </row>
    <row r="16" spans="1:8" x14ac:dyDescent="0.25">
      <c r="A16" t="s">
        <v>179</v>
      </c>
      <c r="B16">
        <v>20</v>
      </c>
      <c r="C16">
        <v>20.703800201416019</v>
      </c>
      <c r="D16">
        <f t="shared" si="0"/>
        <v>0.70380020141601918</v>
      </c>
      <c r="E16">
        <f t="shared" si="1"/>
        <v>0.29079818725585938</v>
      </c>
      <c r="F16">
        <v>2</v>
      </c>
      <c r="G16" s="2">
        <v>1.5</v>
      </c>
      <c r="H16" t="s">
        <v>218</v>
      </c>
    </row>
    <row r="17" spans="1:8" x14ac:dyDescent="0.25">
      <c r="A17" t="s">
        <v>180</v>
      </c>
      <c r="B17">
        <v>20</v>
      </c>
      <c r="C17">
        <v>20.994598388671879</v>
      </c>
      <c r="D17">
        <f t="shared" si="0"/>
        <v>0.99459838867187855</v>
      </c>
      <c r="E17" t="str">
        <f t="shared" si="1"/>
        <v/>
      </c>
      <c r="F17">
        <v>2</v>
      </c>
      <c r="G17" s="2">
        <v>1.5</v>
      </c>
      <c r="H17" t="s">
        <v>218</v>
      </c>
    </row>
    <row r="18" spans="1:8" x14ac:dyDescent="0.25">
      <c r="A18" t="s">
        <v>181</v>
      </c>
      <c r="B18">
        <v>20</v>
      </c>
      <c r="C18">
        <v>23.828445434570309</v>
      </c>
      <c r="D18">
        <f t="shared" si="0"/>
        <v>3.8284454345703089</v>
      </c>
      <c r="E18">
        <f t="shared" si="1"/>
        <v>0.8641815185546875</v>
      </c>
      <c r="F18">
        <v>2</v>
      </c>
      <c r="G18" s="2">
        <v>1.5</v>
      </c>
      <c r="H18" t="s">
        <v>219</v>
      </c>
    </row>
    <row r="19" spans="1:8" x14ac:dyDescent="0.25">
      <c r="A19" t="s">
        <v>182</v>
      </c>
      <c r="B19">
        <v>20</v>
      </c>
      <c r="C19">
        <v>22.964263916015621</v>
      </c>
      <c r="D19">
        <f t="shared" si="0"/>
        <v>2.9642639160156214</v>
      </c>
      <c r="E19" t="str">
        <f t="shared" si="1"/>
        <v/>
      </c>
      <c r="F19">
        <v>2</v>
      </c>
      <c r="G19" s="2">
        <v>1.5</v>
      </c>
      <c r="H19" t="s">
        <v>219</v>
      </c>
    </row>
    <row r="20" spans="1:8" x14ac:dyDescent="0.25">
      <c r="A20" t="s">
        <v>183</v>
      </c>
      <c r="B20">
        <v>21</v>
      </c>
      <c r="C20">
        <v>23.729709625244141</v>
      </c>
      <c r="D20">
        <f t="shared" si="0"/>
        <v>2.7297096252441406</v>
      </c>
      <c r="E20">
        <f t="shared" si="1"/>
        <v>1.9208545684814489</v>
      </c>
      <c r="F20">
        <v>2</v>
      </c>
      <c r="G20" s="2">
        <v>1.5</v>
      </c>
      <c r="H20" t="s">
        <v>220</v>
      </c>
    </row>
    <row r="21" spans="1:8" x14ac:dyDescent="0.25">
      <c r="A21" t="s">
        <v>184</v>
      </c>
      <c r="B21">
        <v>21</v>
      </c>
      <c r="C21">
        <v>25.650564193725589</v>
      </c>
      <c r="D21">
        <f t="shared" si="0"/>
        <v>4.6505641937255895</v>
      </c>
      <c r="E21" t="str">
        <f t="shared" si="1"/>
        <v/>
      </c>
      <c r="F21">
        <v>2</v>
      </c>
      <c r="G21" s="2">
        <v>1.5</v>
      </c>
      <c r="H21" t="s">
        <v>220</v>
      </c>
    </row>
    <row r="22" spans="1:8" x14ac:dyDescent="0.25">
      <c r="A22" t="s">
        <v>185</v>
      </c>
      <c r="B22">
        <v>23</v>
      </c>
      <c r="C22">
        <v>27.148786544799801</v>
      </c>
      <c r="D22">
        <f t="shared" si="0"/>
        <v>4.1487865447998011</v>
      </c>
      <c r="E22">
        <f t="shared" si="1"/>
        <v>1.3125667572021484</v>
      </c>
      <c r="F22">
        <v>2</v>
      </c>
      <c r="G22" s="2">
        <v>1.5</v>
      </c>
      <c r="H22" t="s">
        <v>221</v>
      </c>
    </row>
    <row r="23" spans="1:8" x14ac:dyDescent="0.25">
      <c r="A23" t="s">
        <v>186</v>
      </c>
      <c r="B23">
        <v>23</v>
      </c>
      <c r="C23">
        <v>28.46135330200195</v>
      </c>
      <c r="D23">
        <f t="shared" si="0"/>
        <v>5.4613533020019496</v>
      </c>
      <c r="E23" t="str">
        <f t="shared" si="1"/>
        <v/>
      </c>
      <c r="F23">
        <v>2</v>
      </c>
      <c r="G23" s="2">
        <v>1.5</v>
      </c>
      <c r="H23" t="s">
        <v>221</v>
      </c>
    </row>
    <row r="24" spans="1:8" x14ac:dyDescent="0.25">
      <c r="A24" t="s">
        <v>187</v>
      </c>
      <c r="B24">
        <v>19</v>
      </c>
      <c r="C24">
        <v>22.083808898925781</v>
      </c>
      <c r="D24">
        <f t="shared" si="0"/>
        <v>3.0838088989257813</v>
      </c>
      <c r="E24">
        <f t="shared" si="1"/>
        <v>0.77579689025878906</v>
      </c>
      <c r="F24">
        <v>2</v>
      </c>
      <c r="G24" s="2">
        <v>1.5</v>
      </c>
      <c r="H24" t="s">
        <v>222</v>
      </c>
    </row>
    <row r="25" spans="1:8" x14ac:dyDescent="0.25">
      <c r="A25" t="s">
        <v>188</v>
      </c>
      <c r="B25">
        <v>19</v>
      </c>
      <c r="C25">
        <v>22.85960578918457</v>
      </c>
      <c r="D25">
        <f t="shared" si="0"/>
        <v>3.8596057891845703</v>
      </c>
      <c r="E25" t="str">
        <f t="shared" si="1"/>
        <v/>
      </c>
      <c r="F25">
        <v>2</v>
      </c>
      <c r="G25" s="2">
        <v>1.5</v>
      </c>
      <c r="H25" t="s">
        <v>222</v>
      </c>
    </row>
    <row r="26" spans="1:8" x14ac:dyDescent="0.25">
      <c r="A26" t="s">
        <v>189</v>
      </c>
      <c r="B26">
        <v>20</v>
      </c>
      <c r="C26">
        <v>20.276748657226559</v>
      </c>
      <c r="D26">
        <f t="shared" si="0"/>
        <v>0.27674865722655895</v>
      </c>
      <c r="E26">
        <f t="shared" si="1"/>
        <v>4.0870666503899145E-2</v>
      </c>
      <c r="F26">
        <v>2</v>
      </c>
      <c r="G26" s="2">
        <v>1.5</v>
      </c>
      <c r="H26" t="s">
        <v>223</v>
      </c>
    </row>
    <row r="27" spans="1:8" x14ac:dyDescent="0.25">
      <c r="A27" t="s">
        <v>190</v>
      </c>
      <c r="B27">
        <v>20</v>
      </c>
      <c r="C27">
        <v>20.23587799072266</v>
      </c>
      <c r="D27">
        <f t="shared" si="0"/>
        <v>0.2358779907226598</v>
      </c>
      <c r="E27" t="str">
        <f t="shared" si="1"/>
        <v/>
      </c>
      <c r="F27">
        <v>2</v>
      </c>
      <c r="G27" s="2">
        <v>1.5</v>
      </c>
      <c r="H27" t="s">
        <v>223</v>
      </c>
    </row>
    <row r="28" spans="1:8" x14ac:dyDescent="0.25">
      <c r="A28" t="s">
        <v>191</v>
      </c>
      <c r="B28">
        <v>29</v>
      </c>
      <c r="C28">
        <v>29.5670280456543</v>
      </c>
      <c r="D28">
        <f t="shared" si="0"/>
        <v>0.56702804565430043</v>
      </c>
      <c r="E28">
        <f t="shared" si="1"/>
        <v>1.1650390625</v>
      </c>
      <c r="F28">
        <v>2</v>
      </c>
      <c r="G28" s="2">
        <v>1.5</v>
      </c>
      <c r="H28" t="s">
        <v>224</v>
      </c>
    </row>
    <row r="29" spans="1:8" x14ac:dyDescent="0.25">
      <c r="A29" t="s">
        <v>192</v>
      </c>
      <c r="B29">
        <v>29</v>
      </c>
      <c r="C29">
        <v>30.7320671081543</v>
      </c>
      <c r="D29">
        <f t="shared" si="0"/>
        <v>1.7320671081543004</v>
      </c>
      <c r="E29" t="str">
        <f t="shared" si="1"/>
        <v/>
      </c>
      <c r="F29">
        <v>2</v>
      </c>
      <c r="G29" s="2">
        <v>1.5</v>
      </c>
      <c r="H29" t="s">
        <v>224</v>
      </c>
    </row>
    <row r="30" spans="1:8" x14ac:dyDescent="0.25">
      <c r="A30" t="s">
        <v>193</v>
      </c>
      <c r="B30">
        <v>28</v>
      </c>
      <c r="C30">
        <v>26.346023559570309</v>
      </c>
      <c r="D30">
        <f t="shared" si="0"/>
        <v>1.6539764404296911</v>
      </c>
      <c r="E30">
        <f t="shared" si="1"/>
        <v>1.2523097991943288</v>
      </c>
      <c r="F30">
        <v>2</v>
      </c>
      <c r="G30" s="2">
        <v>1.5</v>
      </c>
      <c r="H30" t="s">
        <v>225</v>
      </c>
    </row>
    <row r="31" spans="1:8" x14ac:dyDescent="0.25">
      <c r="A31" t="s">
        <v>194</v>
      </c>
      <c r="B31">
        <v>28</v>
      </c>
      <c r="C31">
        <v>25.09371376037598</v>
      </c>
      <c r="D31">
        <f t="shared" si="0"/>
        <v>2.9062862396240199</v>
      </c>
      <c r="E31" t="str">
        <f t="shared" si="1"/>
        <v/>
      </c>
      <c r="F31">
        <v>2</v>
      </c>
      <c r="G31" s="2">
        <v>1.5</v>
      </c>
      <c r="H31" t="s">
        <v>225</v>
      </c>
    </row>
    <row r="32" spans="1:8" x14ac:dyDescent="0.25">
      <c r="A32" t="s">
        <v>195</v>
      </c>
      <c r="B32">
        <v>20</v>
      </c>
      <c r="C32">
        <v>20.70524978637695</v>
      </c>
      <c r="D32">
        <f t="shared" si="0"/>
        <v>0.70524978637694957</v>
      </c>
      <c r="E32">
        <f t="shared" si="1"/>
        <v>2.712890625</v>
      </c>
      <c r="F32">
        <v>1</v>
      </c>
      <c r="G32" s="2">
        <v>1.5</v>
      </c>
      <c r="H32" t="s">
        <v>226</v>
      </c>
    </row>
    <row r="33" spans="1:8" x14ac:dyDescent="0.25">
      <c r="A33" t="s">
        <v>196</v>
      </c>
      <c r="B33">
        <v>20</v>
      </c>
      <c r="C33">
        <v>17.99235916137695</v>
      </c>
      <c r="D33">
        <f t="shared" si="0"/>
        <v>2.0076408386230504</v>
      </c>
      <c r="E33" t="str">
        <f t="shared" si="1"/>
        <v/>
      </c>
      <c r="F33">
        <v>1</v>
      </c>
      <c r="G33" s="2">
        <v>1.5</v>
      </c>
      <c r="H33" t="s">
        <v>226</v>
      </c>
    </row>
    <row r="34" spans="1:8" x14ac:dyDescent="0.25">
      <c r="A34" t="s">
        <v>197</v>
      </c>
      <c r="B34">
        <v>22</v>
      </c>
      <c r="C34">
        <v>28.048244476318359</v>
      </c>
      <c r="D34">
        <f t="shared" si="0"/>
        <v>6.0482444763183594</v>
      </c>
      <c r="E34">
        <f t="shared" si="1"/>
        <v>3.2538948059081996</v>
      </c>
      <c r="F34">
        <v>1</v>
      </c>
      <c r="G34" s="2">
        <v>1.5</v>
      </c>
      <c r="H34" t="s">
        <v>227</v>
      </c>
    </row>
    <row r="35" spans="1:8" x14ac:dyDescent="0.25">
      <c r="A35" t="s">
        <v>198</v>
      </c>
      <c r="B35">
        <v>22</v>
      </c>
      <c r="C35">
        <v>31.302139282226559</v>
      </c>
      <c r="D35">
        <f t="shared" si="0"/>
        <v>9.3021392822265589</v>
      </c>
      <c r="E35" t="str">
        <f t="shared" si="1"/>
        <v/>
      </c>
      <c r="F35">
        <v>1</v>
      </c>
      <c r="G35" s="2">
        <v>1.5</v>
      </c>
      <c r="H35" t="s">
        <v>227</v>
      </c>
    </row>
    <row r="36" spans="1:8" x14ac:dyDescent="0.25">
      <c r="A36" t="s">
        <v>199</v>
      </c>
      <c r="B36">
        <v>22</v>
      </c>
      <c r="C36">
        <v>21.99786376953125</v>
      </c>
      <c r="D36">
        <f t="shared" si="0"/>
        <v>2.13623046875E-3</v>
      </c>
      <c r="E36">
        <f t="shared" si="1"/>
        <v>0.53332138061523082</v>
      </c>
      <c r="F36">
        <v>1</v>
      </c>
      <c r="G36" s="2">
        <v>1.5</v>
      </c>
      <c r="H36" t="s">
        <v>228</v>
      </c>
    </row>
    <row r="37" spans="1:8" x14ac:dyDescent="0.25">
      <c r="A37" t="s">
        <v>200</v>
      </c>
      <c r="B37">
        <v>22</v>
      </c>
      <c r="C37">
        <v>21.464542388916019</v>
      </c>
      <c r="D37">
        <f t="shared" si="0"/>
        <v>0.53545761108398082</v>
      </c>
      <c r="E37" t="str">
        <f t="shared" si="1"/>
        <v/>
      </c>
      <c r="F37">
        <v>1</v>
      </c>
      <c r="G37" s="2">
        <v>1.5</v>
      </c>
      <c r="H37" t="s">
        <v>228</v>
      </c>
    </row>
    <row r="38" spans="1:8" x14ac:dyDescent="0.25">
      <c r="A38" t="s">
        <v>201</v>
      </c>
      <c r="B38">
        <v>20</v>
      </c>
      <c r="C38">
        <v>23.26101112365723</v>
      </c>
      <c r="D38">
        <f t="shared" si="0"/>
        <v>3.2610111236572301</v>
      </c>
      <c r="E38">
        <f t="shared" si="1"/>
        <v>0.43109321594238992</v>
      </c>
      <c r="F38">
        <v>2</v>
      </c>
      <c r="G38" s="2">
        <v>1.5</v>
      </c>
      <c r="H38" t="s">
        <v>229</v>
      </c>
    </row>
    <row r="39" spans="1:8" x14ac:dyDescent="0.25">
      <c r="A39" t="s">
        <v>202</v>
      </c>
      <c r="B39">
        <v>20</v>
      </c>
      <c r="C39">
        <v>22.82991790771484</v>
      </c>
      <c r="D39">
        <f t="shared" si="0"/>
        <v>2.8299179077148402</v>
      </c>
      <c r="E39" t="str">
        <f t="shared" si="1"/>
        <v/>
      </c>
      <c r="F39">
        <v>2</v>
      </c>
      <c r="G39" s="2">
        <v>1.5</v>
      </c>
      <c r="H39" t="s">
        <v>229</v>
      </c>
    </row>
    <row r="40" spans="1:8" x14ac:dyDescent="0.25">
      <c r="A40" t="s">
        <v>203</v>
      </c>
      <c r="B40">
        <v>26</v>
      </c>
      <c r="C40">
        <v>26.549623489379879</v>
      </c>
      <c r="D40">
        <f t="shared" si="0"/>
        <v>0.54962348937987926</v>
      </c>
      <c r="E40">
        <f t="shared" si="1"/>
        <v>0.72016906738280895</v>
      </c>
      <c r="F40">
        <v>2</v>
      </c>
      <c r="G40" s="2">
        <v>1.5</v>
      </c>
      <c r="H40" t="s">
        <v>230</v>
      </c>
    </row>
    <row r="41" spans="1:8" x14ac:dyDescent="0.25">
      <c r="A41" t="s">
        <v>204</v>
      </c>
      <c r="B41">
        <v>26</v>
      </c>
      <c r="C41">
        <v>25.82945442199707</v>
      </c>
      <c r="D41">
        <f t="shared" si="0"/>
        <v>0.17054557800292969</v>
      </c>
      <c r="E41" t="str">
        <f t="shared" si="1"/>
        <v/>
      </c>
      <c r="F41">
        <v>2</v>
      </c>
      <c r="G41" s="2">
        <v>1.5</v>
      </c>
      <c r="H41" t="s">
        <v>230</v>
      </c>
    </row>
  </sheetData>
  <phoneticPr fontId="2" type="noConversion"/>
  <conditionalFormatting sqref="E2:E41">
    <cfRule type="cellIs" dxfId="0" priority="1" operator="between">
      <formula>1000</formula>
      <formula>6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Maclaren_T1WI</vt:lpstr>
      <vt:lpstr>MMRR_T1WI</vt:lpstr>
      <vt:lpstr>OAS1_T1WI</vt:lpstr>
      <vt:lpstr>Maclaren_GMP</vt:lpstr>
      <vt:lpstr>MMRR_GMP</vt:lpstr>
      <vt:lpstr>OAS1_GMP</vt:lpstr>
      <vt:lpstr>Maclaren_WMP</vt:lpstr>
      <vt:lpstr>MMRR_WMP</vt:lpstr>
      <vt:lpstr>OAS1_WMP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Ying-Zhu Weng</cp:lastModifiedBy>
  <dcterms:created xsi:type="dcterms:W3CDTF">2026-10-02T06:56:22Z</dcterms:created>
  <dcterms:modified xsi:type="dcterms:W3CDTF">2026-10-08T09:52:16Z</dcterms:modified>
</cp:coreProperties>
</file>