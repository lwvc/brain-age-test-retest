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Lab\result\data\"/>
    </mc:Choice>
  </mc:AlternateContent>
  <xr:revisionPtr revIDLastSave="0" documentId="13_ncr:1_{61A00286-472D-4AE1-947D-23FE21AA96AD}" xr6:coauthVersionLast="47" xr6:coauthVersionMax="47" xr10:uidLastSave="{00000000-0000-0000-0000-000000000000}"/>
  <bookViews>
    <workbookView xWindow="-120" yWindow="-120" windowWidth="29040" windowHeight="15720" firstSheet="4" activeTab="11" xr2:uid="{00000000-000D-0000-FFFF-FFFF00000000}"/>
  </bookViews>
  <sheets>
    <sheet name="Maclaren_T1" sheetId="1" r:id="rId1"/>
    <sheet name="Maclaren_T1_B0" sheetId="2" r:id="rId2"/>
    <sheet name="Maclaren_T1_SEX" sheetId="3" r:id="rId3"/>
    <sheet name="Maclaren_T1_SEX_B0" sheetId="4" r:id="rId4"/>
    <sheet name="MMRR_T1" sheetId="5" r:id="rId5"/>
    <sheet name="MMRR_T1_B0" sheetId="6" r:id="rId6"/>
    <sheet name="MMRR_T1_SEX" sheetId="7" r:id="rId7"/>
    <sheet name="MMRR_T1_SEX_B0" sheetId="8" r:id="rId8"/>
    <sheet name="OAS1_T1" sheetId="9" r:id="rId9"/>
    <sheet name="OAS1_T1_B0" sheetId="10" r:id="rId10"/>
    <sheet name="OAS1_T1_SEX" sheetId="11" r:id="rId11"/>
    <sheet name="OAS1_T1_SEX_B0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1" i="1" l="1"/>
  <c r="D121" i="1"/>
  <c r="E120" i="1"/>
  <c r="D120" i="1"/>
  <c r="E119" i="1"/>
  <c r="D119" i="1"/>
  <c r="E118" i="1"/>
  <c r="D118" i="1"/>
  <c r="E117" i="1"/>
  <c r="D117" i="1"/>
  <c r="E116" i="1"/>
  <c r="D116" i="1"/>
  <c r="E115" i="1"/>
  <c r="D115" i="1"/>
  <c r="E114" i="1"/>
  <c r="D114" i="1"/>
  <c r="E113" i="1"/>
  <c r="D113" i="1"/>
  <c r="E112" i="1"/>
  <c r="D112" i="1"/>
  <c r="E111" i="1"/>
  <c r="D111" i="1"/>
  <c r="E110" i="1"/>
  <c r="D110" i="1"/>
  <c r="E109" i="1"/>
  <c r="D109" i="1"/>
  <c r="E108" i="1"/>
  <c r="D108" i="1"/>
  <c r="E107" i="1"/>
  <c r="D107" i="1"/>
  <c r="E106" i="1"/>
  <c r="D106" i="1"/>
  <c r="E105" i="1"/>
  <c r="D105" i="1"/>
  <c r="E104" i="1"/>
  <c r="D104" i="1"/>
  <c r="E103" i="1"/>
  <c r="D103" i="1"/>
  <c r="E102" i="1"/>
  <c r="D102" i="1"/>
  <c r="E101" i="1"/>
  <c r="D101" i="1"/>
  <c r="E100" i="1"/>
  <c r="D100" i="1"/>
  <c r="E99" i="1"/>
  <c r="D99" i="1"/>
  <c r="E98" i="1"/>
  <c r="D98" i="1"/>
  <c r="E97" i="1"/>
  <c r="D97" i="1"/>
  <c r="E96" i="1"/>
  <c r="D96" i="1"/>
  <c r="E95" i="1"/>
  <c r="D95" i="1"/>
  <c r="E94" i="1"/>
  <c r="D94" i="1"/>
  <c r="E93" i="1"/>
  <c r="D93" i="1"/>
  <c r="E92" i="1"/>
  <c r="D92" i="1"/>
  <c r="E91" i="1"/>
  <c r="D91" i="1"/>
  <c r="E90" i="1"/>
  <c r="D90" i="1"/>
  <c r="E89" i="1"/>
  <c r="D89" i="1"/>
  <c r="E88" i="1"/>
  <c r="D88" i="1"/>
  <c r="E87" i="1"/>
  <c r="D87" i="1"/>
  <c r="E86" i="1"/>
  <c r="D86" i="1"/>
  <c r="E85" i="1"/>
  <c r="D85" i="1"/>
  <c r="E84" i="1"/>
  <c r="D84" i="1"/>
  <c r="E83" i="1"/>
  <c r="D83" i="1"/>
  <c r="E82" i="1"/>
  <c r="D82" i="1"/>
  <c r="E81" i="1"/>
  <c r="D81" i="1"/>
  <c r="E80" i="1"/>
  <c r="D80" i="1"/>
  <c r="E79" i="1"/>
  <c r="D79" i="1"/>
  <c r="E78" i="1"/>
  <c r="D78" i="1"/>
  <c r="E77" i="1"/>
  <c r="D77" i="1"/>
  <c r="E76" i="1"/>
  <c r="D76" i="1"/>
  <c r="E75" i="1"/>
  <c r="D75" i="1"/>
  <c r="E74" i="1"/>
  <c r="D74" i="1"/>
  <c r="E73" i="1"/>
  <c r="D73" i="1"/>
  <c r="E72" i="1"/>
  <c r="D72" i="1"/>
  <c r="E71" i="1"/>
  <c r="D71" i="1"/>
  <c r="E70" i="1"/>
  <c r="D70" i="1"/>
  <c r="E69" i="1"/>
  <c r="D69" i="1"/>
  <c r="E68" i="1"/>
  <c r="D68" i="1"/>
  <c r="E67" i="1"/>
  <c r="D67" i="1"/>
  <c r="E66" i="1"/>
  <c r="D66" i="1"/>
  <c r="E65" i="1"/>
  <c r="D65" i="1"/>
  <c r="E64" i="1"/>
  <c r="D64" i="1"/>
  <c r="E63" i="1"/>
  <c r="D63" i="1"/>
  <c r="E62" i="1"/>
  <c r="D62" i="1"/>
  <c r="E61" i="1"/>
  <c r="D61" i="1"/>
  <c r="E60" i="1"/>
  <c r="D60" i="1"/>
  <c r="E59" i="1"/>
  <c r="D59" i="1"/>
  <c r="E58" i="1"/>
  <c r="D58" i="1"/>
  <c r="E57" i="1"/>
  <c r="D57" i="1"/>
  <c r="E56" i="1"/>
  <c r="D56" i="1"/>
  <c r="E55" i="1"/>
  <c r="D55" i="1"/>
  <c r="E54" i="1"/>
  <c r="D54" i="1"/>
  <c r="E53" i="1"/>
  <c r="D53" i="1"/>
  <c r="E52" i="1"/>
  <c r="D52" i="1"/>
  <c r="E51" i="1"/>
  <c r="D51" i="1"/>
  <c r="E50" i="1"/>
  <c r="D50" i="1"/>
  <c r="E49" i="1"/>
  <c r="D49" i="1"/>
  <c r="E48" i="1"/>
  <c r="D48" i="1"/>
  <c r="E47" i="1"/>
  <c r="D47" i="1"/>
  <c r="E46" i="1"/>
  <c r="D46" i="1"/>
  <c r="E45" i="1"/>
  <c r="D45" i="1"/>
  <c r="E44" i="1"/>
  <c r="D44" i="1"/>
  <c r="E43" i="1"/>
  <c r="D43" i="1"/>
  <c r="E42" i="1"/>
  <c r="D42" i="1"/>
  <c r="E41" i="1"/>
  <c r="D41" i="1"/>
  <c r="E40" i="1"/>
  <c r="D40" i="1"/>
  <c r="E39" i="1"/>
  <c r="D39" i="1"/>
  <c r="E38" i="1"/>
  <c r="D38" i="1"/>
  <c r="E37" i="1"/>
  <c r="D37" i="1"/>
  <c r="E36" i="1"/>
  <c r="D36" i="1"/>
  <c r="E35" i="1"/>
  <c r="D35" i="1"/>
  <c r="E34" i="1"/>
  <c r="D34" i="1"/>
  <c r="E33" i="1"/>
  <c r="D33" i="1"/>
  <c r="E32" i="1"/>
  <c r="D32" i="1"/>
  <c r="E31" i="1"/>
  <c r="D31" i="1"/>
  <c r="E30" i="1"/>
  <c r="D30" i="1"/>
  <c r="E29" i="1"/>
  <c r="D29" i="1"/>
  <c r="E28" i="1"/>
  <c r="D28" i="1"/>
  <c r="E27" i="1"/>
  <c r="D27" i="1"/>
  <c r="E26" i="1"/>
  <c r="D26" i="1"/>
  <c r="E25" i="1"/>
  <c r="D25" i="1"/>
  <c r="E24" i="1"/>
  <c r="D24" i="1"/>
  <c r="E23" i="1"/>
  <c r="D23" i="1"/>
  <c r="E22" i="1"/>
  <c r="D22" i="1"/>
  <c r="E21" i="1"/>
  <c r="D21" i="1"/>
  <c r="E20" i="1"/>
  <c r="D20" i="1"/>
  <c r="E19" i="1"/>
  <c r="D19" i="1"/>
  <c r="E18" i="1"/>
  <c r="D18" i="1"/>
  <c r="E17" i="1"/>
  <c r="D17" i="1"/>
  <c r="E16" i="1"/>
  <c r="D16" i="1"/>
  <c r="E15" i="1"/>
  <c r="D15" i="1"/>
  <c r="E14" i="1"/>
  <c r="D14" i="1"/>
  <c r="E13" i="1"/>
  <c r="D13" i="1"/>
  <c r="E12" i="1"/>
  <c r="D12" i="1"/>
  <c r="E11" i="1"/>
  <c r="D11" i="1"/>
  <c r="E10" i="1"/>
  <c r="D10" i="1"/>
  <c r="E9" i="1"/>
  <c r="D9" i="1"/>
  <c r="E8" i="1"/>
  <c r="D8" i="1"/>
  <c r="E7" i="1"/>
  <c r="D7" i="1"/>
  <c r="E6" i="1"/>
  <c r="D6" i="1"/>
  <c r="E5" i="1"/>
  <c r="D5" i="1"/>
  <c r="E4" i="1"/>
  <c r="D4" i="1"/>
  <c r="E3" i="1"/>
  <c r="D3" i="1"/>
  <c r="E2" i="1"/>
  <c r="D2" i="1"/>
  <c r="E121" i="2"/>
  <c r="D121" i="2"/>
  <c r="E120" i="2"/>
  <c r="D120" i="2"/>
  <c r="E119" i="2"/>
  <c r="D119" i="2"/>
  <c r="E118" i="2"/>
  <c r="D118" i="2"/>
  <c r="E117" i="2"/>
  <c r="D117" i="2"/>
  <c r="E116" i="2"/>
  <c r="D116" i="2"/>
  <c r="E115" i="2"/>
  <c r="D115" i="2"/>
  <c r="E114" i="2"/>
  <c r="D114" i="2"/>
  <c r="E113" i="2"/>
  <c r="D113" i="2"/>
  <c r="E112" i="2"/>
  <c r="D112" i="2"/>
  <c r="E111" i="2"/>
  <c r="D111" i="2"/>
  <c r="E110" i="2"/>
  <c r="D110" i="2"/>
  <c r="E109" i="2"/>
  <c r="D109" i="2"/>
  <c r="E108" i="2"/>
  <c r="D108" i="2"/>
  <c r="E107" i="2"/>
  <c r="D107" i="2"/>
  <c r="E106" i="2"/>
  <c r="D106" i="2"/>
  <c r="E105" i="2"/>
  <c r="D105" i="2"/>
  <c r="E104" i="2"/>
  <c r="D104" i="2"/>
  <c r="E103" i="2"/>
  <c r="D103" i="2"/>
  <c r="E102" i="2"/>
  <c r="D102" i="2"/>
  <c r="E101" i="2"/>
  <c r="D101" i="2"/>
  <c r="E100" i="2"/>
  <c r="D100" i="2"/>
  <c r="E99" i="2"/>
  <c r="D99" i="2"/>
  <c r="E98" i="2"/>
  <c r="D98" i="2"/>
  <c r="E97" i="2"/>
  <c r="D97" i="2"/>
  <c r="E96" i="2"/>
  <c r="D96" i="2"/>
  <c r="E95" i="2"/>
  <c r="D95" i="2"/>
  <c r="E94" i="2"/>
  <c r="D94" i="2"/>
  <c r="E93" i="2"/>
  <c r="D93" i="2"/>
  <c r="E92" i="2"/>
  <c r="D92" i="2"/>
  <c r="E91" i="2"/>
  <c r="D91" i="2"/>
  <c r="E90" i="2"/>
  <c r="D90" i="2"/>
  <c r="E89" i="2"/>
  <c r="D89" i="2"/>
  <c r="E88" i="2"/>
  <c r="D88" i="2"/>
  <c r="E87" i="2"/>
  <c r="D87" i="2"/>
  <c r="E86" i="2"/>
  <c r="D86" i="2"/>
  <c r="E85" i="2"/>
  <c r="D85" i="2"/>
  <c r="E84" i="2"/>
  <c r="D84" i="2"/>
  <c r="E83" i="2"/>
  <c r="D83" i="2"/>
  <c r="E82" i="2"/>
  <c r="D82" i="2"/>
  <c r="E81" i="2"/>
  <c r="D81" i="2"/>
  <c r="E80" i="2"/>
  <c r="D80" i="2"/>
  <c r="E79" i="2"/>
  <c r="D79" i="2"/>
  <c r="E78" i="2"/>
  <c r="D78" i="2"/>
  <c r="E77" i="2"/>
  <c r="D77" i="2"/>
  <c r="E76" i="2"/>
  <c r="D76" i="2"/>
  <c r="E75" i="2"/>
  <c r="D75" i="2"/>
  <c r="E74" i="2"/>
  <c r="D74" i="2"/>
  <c r="E73" i="2"/>
  <c r="D73" i="2"/>
  <c r="E72" i="2"/>
  <c r="D72" i="2"/>
  <c r="E71" i="2"/>
  <c r="D71" i="2"/>
  <c r="E70" i="2"/>
  <c r="D70" i="2"/>
  <c r="E69" i="2"/>
  <c r="D69" i="2"/>
  <c r="E68" i="2"/>
  <c r="D68" i="2"/>
  <c r="E67" i="2"/>
  <c r="D67" i="2"/>
  <c r="E66" i="2"/>
  <c r="D66" i="2"/>
  <c r="E65" i="2"/>
  <c r="D65" i="2"/>
  <c r="E64" i="2"/>
  <c r="D64" i="2"/>
  <c r="E63" i="2"/>
  <c r="D63" i="2"/>
  <c r="E62" i="2"/>
  <c r="D62" i="2"/>
  <c r="E61" i="2"/>
  <c r="D61" i="2"/>
  <c r="E60" i="2"/>
  <c r="D60" i="2"/>
  <c r="E59" i="2"/>
  <c r="D59" i="2"/>
  <c r="E58" i="2"/>
  <c r="D58" i="2"/>
  <c r="E57" i="2"/>
  <c r="D57" i="2"/>
  <c r="E56" i="2"/>
  <c r="D56" i="2"/>
  <c r="E55" i="2"/>
  <c r="D55" i="2"/>
  <c r="E54" i="2"/>
  <c r="D54" i="2"/>
  <c r="E53" i="2"/>
  <c r="D53" i="2"/>
  <c r="E52" i="2"/>
  <c r="D52" i="2"/>
  <c r="E51" i="2"/>
  <c r="D51" i="2"/>
  <c r="E50" i="2"/>
  <c r="D50" i="2"/>
  <c r="E49" i="2"/>
  <c r="D49" i="2"/>
  <c r="E48" i="2"/>
  <c r="D48" i="2"/>
  <c r="E47" i="2"/>
  <c r="D47" i="2"/>
  <c r="E46" i="2"/>
  <c r="D46" i="2"/>
  <c r="E45" i="2"/>
  <c r="D45" i="2"/>
  <c r="E44" i="2"/>
  <c r="D44" i="2"/>
  <c r="E43" i="2"/>
  <c r="D43" i="2"/>
  <c r="E42" i="2"/>
  <c r="D42" i="2"/>
  <c r="E41" i="2"/>
  <c r="D41" i="2"/>
  <c r="E40" i="2"/>
  <c r="D40" i="2"/>
  <c r="E39" i="2"/>
  <c r="D39" i="2"/>
  <c r="E38" i="2"/>
  <c r="D38" i="2"/>
  <c r="E37" i="2"/>
  <c r="D37" i="2"/>
  <c r="E36" i="2"/>
  <c r="D36" i="2"/>
  <c r="E35" i="2"/>
  <c r="D35" i="2"/>
  <c r="E34" i="2"/>
  <c r="D34" i="2"/>
  <c r="E33" i="2"/>
  <c r="D33" i="2"/>
  <c r="E32" i="2"/>
  <c r="D32" i="2"/>
  <c r="E31" i="2"/>
  <c r="D31" i="2"/>
  <c r="E30" i="2"/>
  <c r="D30" i="2"/>
  <c r="E29" i="2"/>
  <c r="D29" i="2"/>
  <c r="E28" i="2"/>
  <c r="D28" i="2"/>
  <c r="E27" i="2"/>
  <c r="D27" i="2"/>
  <c r="E26" i="2"/>
  <c r="D26" i="2"/>
  <c r="E25" i="2"/>
  <c r="D25" i="2"/>
  <c r="E24" i="2"/>
  <c r="D24" i="2"/>
  <c r="E23" i="2"/>
  <c r="D23" i="2"/>
  <c r="E22" i="2"/>
  <c r="D22" i="2"/>
  <c r="E21" i="2"/>
  <c r="D21" i="2"/>
  <c r="E20" i="2"/>
  <c r="D20" i="2"/>
  <c r="E19" i="2"/>
  <c r="D19" i="2"/>
  <c r="E18" i="2"/>
  <c r="D18" i="2"/>
  <c r="E17" i="2"/>
  <c r="D17" i="2"/>
  <c r="E16" i="2"/>
  <c r="D16" i="2"/>
  <c r="E15" i="2"/>
  <c r="D15" i="2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E121" i="3"/>
  <c r="D121" i="3"/>
  <c r="E120" i="3"/>
  <c r="D120" i="3"/>
  <c r="E119" i="3"/>
  <c r="D119" i="3"/>
  <c r="E118" i="3"/>
  <c r="D118" i="3"/>
  <c r="E117" i="3"/>
  <c r="D117" i="3"/>
  <c r="E116" i="3"/>
  <c r="D116" i="3"/>
  <c r="E115" i="3"/>
  <c r="D115" i="3"/>
  <c r="E114" i="3"/>
  <c r="D114" i="3"/>
  <c r="E113" i="3"/>
  <c r="D113" i="3"/>
  <c r="E112" i="3"/>
  <c r="D112" i="3"/>
  <c r="E111" i="3"/>
  <c r="D111" i="3"/>
  <c r="E110" i="3"/>
  <c r="D110" i="3"/>
  <c r="E109" i="3"/>
  <c r="D109" i="3"/>
  <c r="E108" i="3"/>
  <c r="D108" i="3"/>
  <c r="E107" i="3"/>
  <c r="D107" i="3"/>
  <c r="E106" i="3"/>
  <c r="D106" i="3"/>
  <c r="E105" i="3"/>
  <c r="D105" i="3"/>
  <c r="E104" i="3"/>
  <c r="D104" i="3"/>
  <c r="E103" i="3"/>
  <c r="D103" i="3"/>
  <c r="E102" i="3"/>
  <c r="D102" i="3"/>
  <c r="E101" i="3"/>
  <c r="D101" i="3"/>
  <c r="E100" i="3"/>
  <c r="D100" i="3"/>
  <c r="E99" i="3"/>
  <c r="D99" i="3"/>
  <c r="E98" i="3"/>
  <c r="D98" i="3"/>
  <c r="E97" i="3"/>
  <c r="D97" i="3"/>
  <c r="E96" i="3"/>
  <c r="D96" i="3"/>
  <c r="E95" i="3"/>
  <c r="D95" i="3"/>
  <c r="E94" i="3"/>
  <c r="D94" i="3"/>
  <c r="E93" i="3"/>
  <c r="D93" i="3"/>
  <c r="E92" i="3"/>
  <c r="D92" i="3"/>
  <c r="E91" i="3"/>
  <c r="D91" i="3"/>
  <c r="E90" i="3"/>
  <c r="D90" i="3"/>
  <c r="E89" i="3"/>
  <c r="D89" i="3"/>
  <c r="E88" i="3"/>
  <c r="D88" i="3"/>
  <c r="E87" i="3"/>
  <c r="D87" i="3"/>
  <c r="E86" i="3"/>
  <c r="D86" i="3"/>
  <c r="E85" i="3"/>
  <c r="D85" i="3"/>
  <c r="E84" i="3"/>
  <c r="D84" i="3"/>
  <c r="E83" i="3"/>
  <c r="D83" i="3"/>
  <c r="E82" i="3"/>
  <c r="D82" i="3"/>
  <c r="E81" i="3"/>
  <c r="D81" i="3"/>
  <c r="E80" i="3"/>
  <c r="D80" i="3"/>
  <c r="E79" i="3"/>
  <c r="D79" i="3"/>
  <c r="E78" i="3"/>
  <c r="D78" i="3"/>
  <c r="E77" i="3"/>
  <c r="D77" i="3"/>
  <c r="E76" i="3"/>
  <c r="D76" i="3"/>
  <c r="E75" i="3"/>
  <c r="D75" i="3"/>
  <c r="E74" i="3"/>
  <c r="D74" i="3"/>
  <c r="E73" i="3"/>
  <c r="D73" i="3"/>
  <c r="E72" i="3"/>
  <c r="D72" i="3"/>
  <c r="E71" i="3"/>
  <c r="D71" i="3"/>
  <c r="E70" i="3"/>
  <c r="D70" i="3"/>
  <c r="E69" i="3"/>
  <c r="D69" i="3"/>
  <c r="E68" i="3"/>
  <c r="D68" i="3"/>
  <c r="E67" i="3"/>
  <c r="D67" i="3"/>
  <c r="E66" i="3"/>
  <c r="D66" i="3"/>
  <c r="E65" i="3"/>
  <c r="D65" i="3"/>
  <c r="E64" i="3"/>
  <c r="D64" i="3"/>
  <c r="E63" i="3"/>
  <c r="D63" i="3"/>
  <c r="E62" i="3"/>
  <c r="D62" i="3"/>
  <c r="E61" i="3"/>
  <c r="D61" i="3"/>
  <c r="E60" i="3"/>
  <c r="D60" i="3"/>
  <c r="E59" i="3"/>
  <c r="D59" i="3"/>
  <c r="E58" i="3"/>
  <c r="D58" i="3"/>
  <c r="E57" i="3"/>
  <c r="D57" i="3"/>
  <c r="E56" i="3"/>
  <c r="D56" i="3"/>
  <c r="E55" i="3"/>
  <c r="D55" i="3"/>
  <c r="E54" i="3"/>
  <c r="D54" i="3"/>
  <c r="E53" i="3"/>
  <c r="D53" i="3"/>
  <c r="E52" i="3"/>
  <c r="D52" i="3"/>
  <c r="E51" i="3"/>
  <c r="D51" i="3"/>
  <c r="E50" i="3"/>
  <c r="D50" i="3"/>
  <c r="E49" i="3"/>
  <c r="D49" i="3"/>
  <c r="E48" i="3"/>
  <c r="D48" i="3"/>
  <c r="E47" i="3"/>
  <c r="D47" i="3"/>
  <c r="E46" i="3"/>
  <c r="D46" i="3"/>
  <c r="E45" i="3"/>
  <c r="D45" i="3"/>
  <c r="E44" i="3"/>
  <c r="D44" i="3"/>
  <c r="E43" i="3"/>
  <c r="D43" i="3"/>
  <c r="E42" i="3"/>
  <c r="D42" i="3"/>
  <c r="E41" i="3"/>
  <c r="D41" i="3"/>
  <c r="E40" i="3"/>
  <c r="D40" i="3"/>
  <c r="E39" i="3"/>
  <c r="D39" i="3"/>
  <c r="E38" i="3"/>
  <c r="D38" i="3"/>
  <c r="E37" i="3"/>
  <c r="D37" i="3"/>
  <c r="E36" i="3"/>
  <c r="D36" i="3"/>
  <c r="E35" i="3"/>
  <c r="D35" i="3"/>
  <c r="E34" i="3"/>
  <c r="D34" i="3"/>
  <c r="E33" i="3"/>
  <c r="D33" i="3"/>
  <c r="E32" i="3"/>
  <c r="D32" i="3"/>
  <c r="E31" i="3"/>
  <c r="D31" i="3"/>
  <c r="E30" i="3"/>
  <c r="D30" i="3"/>
  <c r="E29" i="3"/>
  <c r="D29" i="3"/>
  <c r="E28" i="3"/>
  <c r="D28" i="3"/>
  <c r="E27" i="3"/>
  <c r="D27" i="3"/>
  <c r="E26" i="3"/>
  <c r="D26" i="3"/>
  <c r="E25" i="3"/>
  <c r="D25" i="3"/>
  <c r="E24" i="3"/>
  <c r="D24" i="3"/>
  <c r="E23" i="3"/>
  <c r="D23" i="3"/>
  <c r="E22" i="3"/>
  <c r="D22" i="3"/>
  <c r="E21" i="3"/>
  <c r="D21" i="3"/>
  <c r="E20" i="3"/>
  <c r="D20" i="3"/>
  <c r="E19" i="3"/>
  <c r="D19" i="3"/>
  <c r="E18" i="3"/>
  <c r="D18" i="3"/>
  <c r="E17" i="3"/>
  <c r="D17" i="3"/>
  <c r="E16" i="3"/>
  <c r="D16" i="3"/>
  <c r="E15" i="3"/>
  <c r="D15" i="3"/>
  <c r="E14" i="3"/>
  <c r="D14" i="3"/>
  <c r="E13" i="3"/>
  <c r="D13" i="3"/>
  <c r="E12" i="3"/>
  <c r="D12" i="3"/>
  <c r="E11" i="3"/>
  <c r="D11" i="3"/>
  <c r="E10" i="3"/>
  <c r="D10" i="3"/>
  <c r="E9" i="3"/>
  <c r="D9" i="3"/>
  <c r="E8" i="3"/>
  <c r="D8" i="3"/>
  <c r="E7" i="3"/>
  <c r="D7" i="3"/>
  <c r="E6" i="3"/>
  <c r="D6" i="3"/>
  <c r="E5" i="3"/>
  <c r="D5" i="3"/>
  <c r="E4" i="3"/>
  <c r="D4" i="3"/>
  <c r="E3" i="3"/>
  <c r="D3" i="3"/>
  <c r="E2" i="3"/>
  <c r="D2" i="3"/>
  <c r="E121" i="4"/>
  <c r="D121" i="4"/>
  <c r="E120" i="4"/>
  <c r="D120" i="4"/>
  <c r="E119" i="4"/>
  <c r="D119" i="4"/>
  <c r="E118" i="4"/>
  <c r="D118" i="4"/>
  <c r="E117" i="4"/>
  <c r="D117" i="4"/>
  <c r="E116" i="4"/>
  <c r="D116" i="4"/>
  <c r="E115" i="4"/>
  <c r="D115" i="4"/>
  <c r="E114" i="4"/>
  <c r="D114" i="4"/>
  <c r="E113" i="4"/>
  <c r="D113" i="4"/>
  <c r="E112" i="4"/>
  <c r="D112" i="4"/>
  <c r="E111" i="4"/>
  <c r="D111" i="4"/>
  <c r="E110" i="4"/>
  <c r="D110" i="4"/>
  <c r="E109" i="4"/>
  <c r="D109" i="4"/>
  <c r="E108" i="4"/>
  <c r="D108" i="4"/>
  <c r="E107" i="4"/>
  <c r="D107" i="4"/>
  <c r="E106" i="4"/>
  <c r="D106" i="4"/>
  <c r="E105" i="4"/>
  <c r="D105" i="4"/>
  <c r="E104" i="4"/>
  <c r="D104" i="4"/>
  <c r="E103" i="4"/>
  <c r="D103" i="4"/>
  <c r="E102" i="4"/>
  <c r="D102" i="4"/>
  <c r="E101" i="4"/>
  <c r="D101" i="4"/>
  <c r="E100" i="4"/>
  <c r="D100" i="4"/>
  <c r="E99" i="4"/>
  <c r="D99" i="4"/>
  <c r="E98" i="4"/>
  <c r="D98" i="4"/>
  <c r="E97" i="4"/>
  <c r="D97" i="4"/>
  <c r="E96" i="4"/>
  <c r="D96" i="4"/>
  <c r="E95" i="4"/>
  <c r="D95" i="4"/>
  <c r="E94" i="4"/>
  <c r="D94" i="4"/>
  <c r="E93" i="4"/>
  <c r="D93" i="4"/>
  <c r="E92" i="4"/>
  <c r="D92" i="4"/>
  <c r="E91" i="4"/>
  <c r="D91" i="4"/>
  <c r="E90" i="4"/>
  <c r="D90" i="4"/>
  <c r="E89" i="4"/>
  <c r="D89" i="4"/>
  <c r="E88" i="4"/>
  <c r="D88" i="4"/>
  <c r="E87" i="4"/>
  <c r="D87" i="4"/>
  <c r="E86" i="4"/>
  <c r="D86" i="4"/>
  <c r="E85" i="4"/>
  <c r="D85" i="4"/>
  <c r="E84" i="4"/>
  <c r="D84" i="4"/>
  <c r="E83" i="4"/>
  <c r="D83" i="4"/>
  <c r="E82" i="4"/>
  <c r="D82" i="4"/>
  <c r="E81" i="4"/>
  <c r="D81" i="4"/>
  <c r="E80" i="4"/>
  <c r="D80" i="4"/>
  <c r="E79" i="4"/>
  <c r="D79" i="4"/>
  <c r="E78" i="4"/>
  <c r="D78" i="4"/>
  <c r="E77" i="4"/>
  <c r="D77" i="4"/>
  <c r="E76" i="4"/>
  <c r="D76" i="4"/>
  <c r="E75" i="4"/>
  <c r="D75" i="4"/>
  <c r="E74" i="4"/>
  <c r="D74" i="4"/>
  <c r="E73" i="4"/>
  <c r="D73" i="4"/>
  <c r="E72" i="4"/>
  <c r="D72" i="4"/>
  <c r="E71" i="4"/>
  <c r="D71" i="4"/>
  <c r="E70" i="4"/>
  <c r="D70" i="4"/>
  <c r="E69" i="4"/>
  <c r="D69" i="4"/>
  <c r="E68" i="4"/>
  <c r="D68" i="4"/>
  <c r="E67" i="4"/>
  <c r="D67" i="4"/>
  <c r="E66" i="4"/>
  <c r="D66" i="4"/>
  <c r="E65" i="4"/>
  <c r="D65" i="4"/>
  <c r="E64" i="4"/>
  <c r="D64" i="4"/>
  <c r="E63" i="4"/>
  <c r="D63" i="4"/>
  <c r="E62" i="4"/>
  <c r="D62" i="4"/>
  <c r="E61" i="4"/>
  <c r="D61" i="4"/>
  <c r="E60" i="4"/>
  <c r="D60" i="4"/>
  <c r="E59" i="4"/>
  <c r="D59" i="4"/>
  <c r="E58" i="4"/>
  <c r="D58" i="4"/>
  <c r="E57" i="4"/>
  <c r="D57" i="4"/>
  <c r="E56" i="4"/>
  <c r="D56" i="4"/>
  <c r="E55" i="4"/>
  <c r="D55" i="4"/>
  <c r="E54" i="4"/>
  <c r="D54" i="4"/>
  <c r="E53" i="4"/>
  <c r="D53" i="4"/>
  <c r="E52" i="4"/>
  <c r="D52" i="4"/>
  <c r="E51" i="4"/>
  <c r="D51" i="4"/>
  <c r="E50" i="4"/>
  <c r="D50" i="4"/>
  <c r="E49" i="4"/>
  <c r="D49" i="4"/>
  <c r="E48" i="4"/>
  <c r="D48" i="4"/>
  <c r="E47" i="4"/>
  <c r="D47" i="4"/>
  <c r="E46" i="4"/>
  <c r="D46" i="4"/>
  <c r="E45" i="4"/>
  <c r="D45" i="4"/>
  <c r="E44" i="4"/>
  <c r="D44" i="4"/>
  <c r="E43" i="4"/>
  <c r="D43" i="4"/>
  <c r="E42" i="4"/>
  <c r="D42" i="4"/>
  <c r="E41" i="4"/>
  <c r="D41" i="4"/>
  <c r="E40" i="4"/>
  <c r="D40" i="4"/>
  <c r="E39" i="4"/>
  <c r="D39" i="4"/>
  <c r="E38" i="4"/>
  <c r="D38" i="4"/>
  <c r="E37" i="4"/>
  <c r="D37" i="4"/>
  <c r="E36" i="4"/>
  <c r="D36" i="4"/>
  <c r="E35" i="4"/>
  <c r="D35" i="4"/>
  <c r="E34" i="4"/>
  <c r="D34" i="4"/>
  <c r="E33" i="4"/>
  <c r="D33" i="4"/>
  <c r="E32" i="4"/>
  <c r="D32" i="4"/>
  <c r="E31" i="4"/>
  <c r="D31" i="4"/>
  <c r="E30" i="4"/>
  <c r="D30" i="4"/>
  <c r="E29" i="4"/>
  <c r="D29" i="4"/>
  <c r="E28" i="4"/>
  <c r="D28" i="4"/>
  <c r="E27" i="4"/>
  <c r="D27" i="4"/>
  <c r="E26" i="4"/>
  <c r="D26" i="4"/>
  <c r="E25" i="4"/>
  <c r="D25" i="4"/>
  <c r="E24" i="4"/>
  <c r="D24" i="4"/>
  <c r="E23" i="4"/>
  <c r="D23" i="4"/>
  <c r="E22" i="4"/>
  <c r="D22" i="4"/>
  <c r="E21" i="4"/>
  <c r="D21" i="4"/>
  <c r="E20" i="4"/>
  <c r="D20" i="4"/>
  <c r="E19" i="4"/>
  <c r="D19" i="4"/>
  <c r="E18" i="4"/>
  <c r="D18" i="4"/>
  <c r="E17" i="4"/>
  <c r="D17" i="4"/>
  <c r="E16" i="4"/>
  <c r="D16" i="4"/>
  <c r="E15" i="4"/>
  <c r="D15" i="4"/>
  <c r="E14" i="4"/>
  <c r="D14" i="4"/>
  <c r="E13" i="4"/>
  <c r="D13" i="4"/>
  <c r="E12" i="4"/>
  <c r="D12" i="4"/>
  <c r="E11" i="4"/>
  <c r="D11" i="4"/>
  <c r="E10" i="4"/>
  <c r="D10" i="4"/>
  <c r="E9" i="4"/>
  <c r="D9" i="4"/>
  <c r="E8" i="4"/>
  <c r="D8" i="4"/>
  <c r="E7" i="4"/>
  <c r="D7" i="4"/>
  <c r="E6" i="4"/>
  <c r="D6" i="4"/>
  <c r="E5" i="4"/>
  <c r="D5" i="4"/>
  <c r="E4" i="4"/>
  <c r="D4" i="4"/>
  <c r="E3" i="4"/>
  <c r="D3" i="4"/>
  <c r="E2" i="4"/>
  <c r="D2" i="4"/>
  <c r="E43" i="5"/>
  <c r="D43" i="5"/>
  <c r="E42" i="5"/>
  <c r="D42" i="5"/>
  <c r="E41" i="5"/>
  <c r="D41" i="5"/>
  <c r="E40" i="5"/>
  <c r="D40" i="5"/>
  <c r="E39" i="5"/>
  <c r="D39" i="5"/>
  <c r="E38" i="5"/>
  <c r="D38" i="5"/>
  <c r="E37" i="5"/>
  <c r="D37" i="5"/>
  <c r="E36" i="5"/>
  <c r="D36" i="5"/>
  <c r="E35" i="5"/>
  <c r="D35" i="5"/>
  <c r="E34" i="5"/>
  <c r="D34" i="5"/>
  <c r="E33" i="5"/>
  <c r="D33" i="5"/>
  <c r="E32" i="5"/>
  <c r="D32" i="5"/>
  <c r="E31" i="5"/>
  <c r="D31" i="5"/>
  <c r="E30" i="5"/>
  <c r="D30" i="5"/>
  <c r="E29" i="5"/>
  <c r="D29" i="5"/>
  <c r="E28" i="5"/>
  <c r="D28" i="5"/>
  <c r="E27" i="5"/>
  <c r="D27" i="5"/>
  <c r="E26" i="5"/>
  <c r="D26" i="5"/>
  <c r="E25" i="5"/>
  <c r="D25" i="5"/>
  <c r="E24" i="5"/>
  <c r="D24" i="5"/>
  <c r="E23" i="5"/>
  <c r="D23" i="5"/>
  <c r="E22" i="5"/>
  <c r="D22" i="5"/>
  <c r="E21" i="5"/>
  <c r="D21" i="5"/>
  <c r="E20" i="5"/>
  <c r="D20" i="5"/>
  <c r="E19" i="5"/>
  <c r="D19" i="5"/>
  <c r="E18" i="5"/>
  <c r="D18" i="5"/>
  <c r="E17" i="5"/>
  <c r="D17" i="5"/>
  <c r="E16" i="5"/>
  <c r="D16" i="5"/>
  <c r="E15" i="5"/>
  <c r="D15" i="5"/>
  <c r="E14" i="5"/>
  <c r="D14" i="5"/>
  <c r="E13" i="5"/>
  <c r="D13" i="5"/>
  <c r="E12" i="5"/>
  <c r="D12" i="5"/>
  <c r="E11" i="5"/>
  <c r="D11" i="5"/>
  <c r="E10" i="5"/>
  <c r="D10" i="5"/>
  <c r="E9" i="5"/>
  <c r="D9" i="5"/>
  <c r="E8" i="5"/>
  <c r="D8" i="5"/>
  <c r="E7" i="5"/>
  <c r="D7" i="5"/>
  <c r="E6" i="5"/>
  <c r="D6" i="5"/>
  <c r="E5" i="5"/>
  <c r="D5" i="5"/>
  <c r="E4" i="5"/>
  <c r="D4" i="5"/>
  <c r="E3" i="5"/>
  <c r="D3" i="5"/>
  <c r="E2" i="5"/>
  <c r="D2" i="5"/>
  <c r="E43" i="6"/>
  <c r="D43" i="6"/>
  <c r="E42" i="6"/>
  <c r="D42" i="6"/>
  <c r="E41" i="6"/>
  <c r="D41" i="6"/>
  <c r="E40" i="6"/>
  <c r="D40" i="6"/>
  <c r="E39" i="6"/>
  <c r="D39" i="6"/>
  <c r="E38" i="6"/>
  <c r="D38" i="6"/>
  <c r="E37" i="6"/>
  <c r="D37" i="6"/>
  <c r="E36" i="6"/>
  <c r="D36" i="6"/>
  <c r="E35" i="6"/>
  <c r="D35" i="6"/>
  <c r="E34" i="6"/>
  <c r="D34" i="6"/>
  <c r="E33" i="6"/>
  <c r="D33" i="6"/>
  <c r="E32" i="6"/>
  <c r="D32" i="6"/>
  <c r="E31" i="6"/>
  <c r="D31" i="6"/>
  <c r="E30" i="6"/>
  <c r="D30" i="6"/>
  <c r="E29" i="6"/>
  <c r="D29" i="6"/>
  <c r="E28" i="6"/>
  <c r="D28" i="6"/>
  <c r="E27" i="6"/>
  <c r="D27" i="6"/>
  <c r="E26" i="6"/>
  <c r="D26" i="6"/>
  <c r="E25" i="6"/>
  <c r="D25" i="6"/>
  <c r="E24" i="6"/>
  <c r="D24" i="6"/>
  <c r="E23" i="6"/>
  <c r="D23" i="6"/>
  <c r="E22" i="6"/>
  <c r="D22" i="6"/>
  <c r="E21" i="6"/>
  <c r="D21" i="6"/>
  <c r="E20" i="6"/>
  <c r="D20" i="6"/>
  <c r="E19" i="6"/>
  <c r="D19" i="6"/>
  <c r="E18" i="6"/>
  <c r="D18" i="6"/>
  <c r="E17" i="6"/>
  <c r="D17" i="6"/>
  <c r="E16" i="6"/>
  <c r="D16" i="6"/>
  <c r="E15" i="6"/>
  <c r="D15" i="6"/>
  <c r="E14" i="6"/>
  <c r="D14" i="6"/>
  <c r="E13" i="6"/>
  <c r="D13" i="6"/>
  <c r="E12" i="6"/>
  <c r="D12" i="6"/>
  <c r="E11" i="6"/>
  <c r="D11" i="6"/>
  <c r="E10" i="6"/>
  <c r="D10" i="6"/>
  <c r="E9" i="6"/>
  <c r="D9" i="6"/>
  <c r="E8" i="6"/>
  <c r="D8" i="6"/>
  <c r="E7" i="6"/>
  <c r="D7" i="6"/>
  <c r="E6" i="6"/>
  <c r="D6" i="6"/>
  <c r="E5" i="6"/>
  <c r="D5" i="6"/>
  <c r="E4" i="6"/>
  <c r="D4" i="6"/>
  <c r="E3" i="6"/>
  <c r="D3" i="6"/>
  <c r="E2" i="6"/>
  <c r="D2" i="6"/>
  <c r="E43" i="7"/>
  <c r="D43" i="7"/>
  <c r="E42" i="7"/>
  <c r="D42" i="7"/>
  <c r="E41" i="7"/>
  <c r="D41" i="7"/>
  <c r="E40" i="7"/>
  <c r="D40" i="7"/>
  <c r="E39" i="7"/>
  <c r="D39" i="7"/>
  <c r="E38" i="7"/>
  <c r="D38" i="7"/>
  <c r="E37" i="7"/>
  <c r="D37" i="7"/>
  <c r="E36" i="7"/>
  <c r="D36" i="7"/>
  <c r="E35" i="7"/>
  <c r="D35" i="7"/>
  <c r="E34" i="7"/>
  <c r="D34" i="7"/>
  <c r="E33" i="7"/>
  <c r="D33" i="7"/>
  <c r="E32" i="7"/>
  <c r="D32" i="7"/>
  <c r="E31" i="7"/>
  <c r="D31" i="7"/>
  <c r="E30" i="7"/>
  <c r="D30" i="7"/>
  <c r="E29" i="7"/>
  <c r="D29" i="7"/>
  <c r="E28" i="7"/>
  <c r="D28" i="7"/>
  <c r="E27" i="7"/>
  <c r="D27" i="7"/>
  <c r="E26" i="7"/>
  <c r="D26" i="7"/>
  <c r="E25" i="7"/>
  <c r="D25" i="7"/>
  <c r="E24" i="7"/>
  <c r="D24" i="7"/>
  <c r="E23" i="7"/>
  <c r="D23" i="7"/>
  <c r="E22" i="7"/>
  <c r="D22" i="7"/>
  <c r="E21" i="7"/>
  <c r="D21" i="7"/>
  <c r="E20" i="7"/>
  <c r="D20" i="7"/>
  <c r="E19" i="7"/>
  <c r="D19" i="7"/>
  <c r="E18" i="7"/>
  <c r="D18" i="7"/>
  <c r="E17" i="7"/>
  <c r="D17" i="7"/>
  <c r="E16" i="7"/>
  <c r="D16" i="7"/>
  <c r="E15" i="7"/>
  <c r="D15" i="7"/>
  <c r="E14" i="7"/>
  <c r="D14" i="7"/>
  <c r="E13" i="7"/>
  <c r="D13" i="7"/>
  <c r="E12" i="7"/>
  <c r="D12" i="7"/>
  <c r="E11" i="7"/>
  <c r="D11" i="7"/>
  <c r="E10" i="7"/>
  <c r="D10" i="7"/>
  <c r="E9" i="7"/>
  <c r="D9" i="7"/>
  <c r="E8" i="7"/>
  <c r="D8" i="7"/>
  <c r="E7" i="7"/>
  <c r="D7" i="7"/>
  <c r="E6" i="7"/>
  <c r="D6" i="7"/>
  <c r="E5" i="7"/>
  <c r="D5" i="7"/>
  <c r="E4" i="7"/>
  <c r="D4" i="7"/>
  <c r="E3" i="7"/>
  <c r="D3" i="7"/>
  <c r="E2" i="7"/>
  <c r="D2" i="7"/>
  <c r="E43" i="8"/>
  <c r="D43" i="8"/>
  <c r="E42" i="8"/>
  <c r="D42" i="8"/>
  <c r="E41" i="8"/>
  <c r="D41" i="8"/>
  <c r="E40" i="8"/>
  <c r="D40" i="8"/>
  <c r="E39" i="8"/>
  <c r="D39" i="8"/>
  <c r="E38" i="8"/>
  <c r="D38" i="8"/>
  <c r="E37" i="8"/>
  <c r="D37" i="8"/>
  <c r="E36" i="8"/>
  <c r="D36" i="8"/>
  <c r="E35" i="8"/>
  <c r="D35" i="8"/>
  <c r="E34" i="8"/>
  <c r="D34" i="8"/>
  <c r="E33" i="8"/>
  <c r="D33" i="8"/>
  <c r="E32" i="8"/>
  <c r="D32" i="8"/>
  <c r="E31" i="8"/>
  <c r="D31" i="8"/>
  <c r="E30" i="8"/>
  <c r="D30" i="8"/>
  <c r="E29" i="8"/>
  <c r="D29" i="8"/>
  <c r="E28" i="8"/>
  <c r="D28" i="8"/>
  <c r="E27" i="8"/>
  <c r="D27" i="8"/>
  <c r="E26" i="8"/>
  <c r="D26" i="8"/>
  <c r="E25" i="8"/>
  <c r="D25" i="8"/>
  <c r="E24" i="8"/>
  <c r="D24" i="8"/>
  <c r="E23" i="8"/>
  <c r="D23" i="8"/>
  <c r="E22" i="8"/>
  <c r="D22" i="8"/>
  <c r="E21" i="8"/>
  <c r="D21" i="8"/>
  <c r="E20" i="8"/>
  <c r="D20" i="8"/>
  <c r="E19" i="8"/>
  <c r="D19" i="8"/>
  <c r="E18" i="8"/>
  <c r="D18" i="8"/>
  <c r="E17" i="8"/>
  <c r="D17" i="8"/>
  <c r="E16" i="8"/>
  <c r="D16" i="8"/>
  <c r="E15" i="8"/>
  <c r="D15" i="8"/>
  <c r="E14" i="8"/>
  <c r="D14" i="8"/>
  <c r="E13" i="8"/>
  <c r="D13" i="8"/>
  <c r="E12" i="8"/>
  <c r="D12" i="8"/>
  <c r="E11" i="8"/>
  <c r="D11" i="8"/>
  <c r="E10" i="8"/>
  <c r="D10" i="8"/>
  <c r="E9" i="8"/>
  <c r="D9" i="8"/>
  <c r="E8" i="8"/>
  <c r="D8" i="8"/>
  <c r="E7" i="8"/>
  <c r="D7" i="8"/>
  <c r="E6" i="8"/>
  <c r="D6" i="8"/>
  <c r="E5" i="8"/>
  <c r="D5" i="8"/>
  <c r="E4" i="8"/>
  <c r="D4" i="8"/>
  <c r="E3" i="8"/>
  <c r="D3" i="8"/>
  <c r="E2" i="8"/>
  <c r="D2" i="8"/>
  <c r="D41" i="11"/>
  <c r="D41" i="12"/>
  <c r="D41" i="10"/>
  <c r="E41" i="11"/>
  <c r="E40" i="11"/>
  <c r="D40" i="11"/>
  <c r="E39" i="11"/>
  <c r="D39" i="11"/>
  <c r="E38" i="11"/>
  <c r="D38" i="11"/>
  <c r="E37" i="11"/>
  <c r="D37" i="11"/>
  <c r="E36" i="11"/>
  <c r="D36" i="11"/>
  <c r="E35" i="11"/>
  <c r="D35" i="11"/>
  <c r="E34" i="11"/>
  <c r="D34" i="11"/>
  <c r="E33" i="11"/>
  <c r="D33" i="11"/>
  <c r="E32" i="11"/>
  <c r="D32" i="11"/>
  <c r="E31" i="11"/>
  <c r="D31" i="11"/>
  <c r="E30" i="11"/>
  <c r="D30" i="11"/>
  <c r="E29" i="11"/>
  <c r="D29" i="11"/>
  <c r="E28" i="11"/>
  <c r="D28" i="11"/>
  <c r="E27" i="11"/>
  <c r="D27" i="11"/>
  <c r="E26" i="11"/>
  <c r="D26" i="11"/>
  <c r="E25" i="11"/>
  <c r="D25" i="11"/>
  <c r="E24" i="11"/>
  <c r="D24" i="11"/>
  <c r="E23" i="11"/>
  <c r="D23" i="11"/>
  <c r="E22" i="11"/>
  <c r="D22" i="11"/>
  <c r="E21" i="11"/>
  <c r="D21" i="11"/>
  <c r="E20" i="11"/>
  <c r="D20" i="11"/>
  <c r="E19" i="11"/>
  <c r="D19" i="11"/>
  <c r="E18" i="11"/>
  <c r="D18" i="11"/>
  <c r="E17" i="11"/>
  <c r="D17" i="11"/>
  <c r="E16" i="11"/>
  <c r="D16" i="11"/>
  <c r="E15" i="11"/>
  <c r="D15" i="11"/>
  <c r="E14" i="11"/>
  <c r="D14" i="11"/>
  <c r="E13" i="11"/>
  <c r="D13" i="11"/>
  <c r="E12" i="11"/>
  <c r="D12" i="11"/>
  <c r="E11" i="11"/>
  <c r="D11" i="11"/>
  <c r="E10" i="11"/>
  <c r="D10" i="11"/>
  <c r="E9" i="11"/>
  <c r="D9" i="11"/>
  <c r="E8" i="11"/>
  <c r="D8" i="11"/>
  <c r="E7" i="11"/>
  <c r="D7" i="11"/>
  <c r="E6" i="11"/>
  <c r="D6" i="11"/>
  <c r="E5" i="11"/>
  <c r="D5" i="11"/>
  <c r="E4" i="11"/>
  <c r="D4" i="11"/>
  <c r="E3" i="11"/>
  <c r="D3" i="11"/>
  <c r="E2" i="11"/>
  <c r="D2" i="11"/>
  <c r="E41" i="12"/>
  <c r="E40" i="12"/>
  <c r="D40" i="12"/>
  <c r="E39" i="12"/>
  <c r="D39" i="12"/>
  <c r="E38" i="12"/>
  <c r="D38" i="12"/>
  <c r="E37" i="12"/>
  <c r="D37" i="12"/>
  <c r="E36" i="12"/>
  <c r="D36" i="12"/>
  <c r="E35" i="12"/>
  <c r="D35" i="12"/>
  <c r="E34" i="12"/>
  <c r="D34" i="12"/>
  <c r="E33" i="12"/>
  <c r="D33" i="12"/>
  <c r="E32" i="12"/>
  <c r="D32" i="12"/>
  <c r="E31" i="12"/>
  <c r="D31" i="12"/>
  <c r="E30" i="12"/>
  <c r="D30" i="12"/>
  <c r="E29" i="12"/>
  <c r="D29" i="12"/>
  <c r="E28" i="12"/>
  <c r="D28" i="12"/>
  <c r="E27" i="12"/>
  <c r="D27" i="12"/>
  <c r="E26" i="12"/>
  <c r="D26" i="12"/>
  <c r="E25" i="12"/>
  <c r="D25" i="12"/>
  <c r="E24" i="12"/>
  <c r="D24" i="12"/>
  <c r="E23" i="12"/>
  <c r="D23" i="12"/>
  <c r="E22" i="12"/>
  <c r="D22" i="12"/>
  <c r="E21" i="12"/>
  <c r="D21" i="12"/>
  <c r="E20" i="12"/>
  <c r="D20" i="12"/>
  <c r="E19" i="12"/>
  <c r="D19" i="12"/>
  <c r="E18" i="12"/>
  <c r="D18" i="12"/>
  <c r="E17" i="12"/>
  <c r="D17" i="12"/>
  <c r="E16" i="12"/>
  <c r="D16" i="12"/>
  <c r="E15" i="12"/>
  <c r="D15" i="12"/>
  <c r="E14" i="12"/>
  <c r="D14" i="12"/>
  <c r="E13" i="12"/>
  <c r="D13" i="12"/>
  <c r="E12" i="12"/>
  <c r="D12" i="12"/>
  <c r="E11" i="12"/>
  <c r="D11" i="12"/>
  <c r="E10" i="12"/>
  <c r="D10" i="12"/>
  <c r="E9" i="12"/>
  <c r="D9" i="12"/>
  <c r="E8" i="12"/>
  <c r="D8" i="12"/>
  <c r="E7" i="12"/>
  <c r="D7" i="12"/>
  <c r="E6" i="12"/>
  <c r="D6" i="12"/>
  <c r="E5" i="12"/>
  <c r="D5" i="12"/>
  <c r="E4" i="12"/>
  <c r="D4" i="12"/>
  <c r="E3" i="12"/>
  <c r="D3" i="12"/>
  <c r="E2" i="12"/>
  <c r="D2" i="12"/>
  <c r="E41" i="10"/>
  <c r="E40" i="10"/>
  <c r="D40" i="10"/>
  <c r="E39" i="10"/>
  <c r="D39" i="10"/>
  <c r="E38" i="10"/>
  <c r="D38" i="10"/>
  <c r="E37" i="10"/>
  <c r="D37" i="10"/>
  <c r="E36" i="10"/>
  <c r="D36" i="10"/>
  <c r="E35" i="10"/>
  <c r="D35" i="10"/>
  <c r="E34" i="10"/>
  <c r="D34" i="10"/>
  <c r="E33" i="10"/>
  <c r="D33" i="10"/>
  <c r="E32" i="10"/>
  <c r="D32" i="10"/>
  <c r="E31" i="10"/>
  <c r="D31" i="10"/>
  <c r="E30" i="10"/>
  <c r="D30" i="10"/>
  <c r="E29" i="10"/>
  <c r="D29" i="10"/>
  <c r="E28" i="10"/>
  <c r="D28" i="10"/>
  <c r="E27" i="10"/>
  <c r="D27" i="10"/>
  <c r="E26" i="10"/>
  <c r="D26" i="10"/>
  <c r="E25" i="10"/>
  <c r="D25" i="10"/>
  <c r="E24" i="10"/>
  <c r="D24" i="10"/>
  <c r="E23" i="10"/>
  <c r="D23" i="10"/>
  <c r="E22" i="10"/>
  <c r="D22" i="10"/>
  <c r="E21" i="10"/>
  <c r="D21" i="10"/>
  <c r="E20" i="10"/>
  <c r="D20" i="10"/>
  <c r="E19" i="10"/>
  <c r="D19" i="10"/>
  <c r="E18" i="10"/>
  <c r="D18" i="10"/>
  <c r="E17" i="10"/>
  <c r="D17" i="10"/>
  <c r="E16" i="10"/>
  <c r="D16" i="10"/>
  <c r="E15" i="10"/>
  <c r="D15" i="10"/>
  <c r="E14" i="10"/>
  <c r="D14" i="10"/>
  <c r="E13" i="10"/>
  <c r="D13" i="10"/>
  <c r="E12" i="10"/>
  <c r="D12" i="10"/>
  <c r="E11" i="10"/>
  <c r="D11" i="10"/>
  <c r="E10" i="10"/>
  <c r="D10" i="10"/>
  <c r="E9" i="10"/>
  <c r="D9" i="10"/>
  <c r="E8" i="10"/>
  <c r="D8" i="10"/>
  <c r="E7" i="10"/>
  <c r="D7" i="10"/>
  <c r="E6" i="10"/>
  <c r="D6" i="10"/>
  <c r="E5" i="10"/>
  <c r="D5" i="10"/>
  <c r="E4" i="10"/>
  <c r="D4" i="10"/>
  <c r="E3" i="10"/>
  <c r="D3" i="10"/>
  <c r="E2" i="10"/>
  <c r="D2" i="10"/>
  <c r="D40" i="9"/>
  <c r="E41" i="9"/>
  <c r="D41" i="9"/>
  <c r="E40" i="9"/>
  <c r="E39" i="9"/>
  <c r="D39" i="9"/>
  <c r="E38" i="9"/>
  <c r="D38" i="9"/>
  <c r="E37" i="9"/>
  <c r="D37" i="9"/>
  <c r="E36" i="9"/>
  <c r="D36" i="9"/>
  <c r="E35" i="9"/>
  <c r="D35" i="9"/>
  <c r="E34" i="9"/>
  <c r="D34" i="9"/>
  <c r="E33" i="9"/>
  <c r="D33" i="9"/>
  <c r="E32" i="9"/>
  <c r="D32" i="9"/>
  <c r="E31" i="9"/>
  <c r="D31" i="9"/>
  <c r="E30" i="9"/>
  <c r="D30" i="9"/>
  <c r="E29" i="9"/>
  <c r="D29" i="9"/>
  <c r="E28" i="9"/>
  <c r="D28" i="9"/>
  <c r="E27" i="9"/>
  <c r="D27" i="9"/>
  <c r="E26" i="9"/>
  <c r="D26" i="9"/>
  <c r="E25" i="9"/>
  <c r="D25" i="9"/>
  <c r="E24" i="9"/>
  <c r="D24" i="9"/>
  <c r="E23" i="9"/>
  <c r="D23" i="9"/>
  <c r="E22" i="9"/>
  <c r="D22" i="9"/>
  <c r="E21" i="9"/>
  <c r="D21" i="9"/>
  <c r="E20" i="9"/>
  <c r="D20" i="9"/>
  <c r="E19" i="9"/>
  <c r="D19" i="9"/>
  <c r="E18" i="9"/>
  <c r="D18" i="9"/>
  <c r="E17" i="9"/>
  <c r="D17" i="9"/>
  <c r="E16" i="9"/>
  <c r="D16" i="9"/>
  <c r="E15" i="9"/>
  <c r="D15" i="9"/>
  <c r="E14" i="9"/>
  <c r="D14" i="9"/>
  <c r="E13" i="9"/>
  <c r="D13" i="9"/>
  <c r="E12" i="9"/>
  <c r="D12" i="9"/>
  <c r="E11" i="9"/>
  <c r="D11" i="9"/>
  <c r="E10" i="9"/>
  <c r="D10" i="9"/>
  <c r="E9" i="9"/>
  <c r="D9" i="9"/>
  <c r="E8" i="9"/>
  <c r="D8" i="9"/>
  <c r="E7" i="9"/>
  <c r="D7" i="9"/>
  <c r="E6" i="9"/>
  <c r="D6" i="9"/>
  <c r="E5" i="9"/>
  <c r="D5" i="9"/>
  <c r="E4" i="9"/>
  <c r="D4" i="9"/>
  <c r="E3" i="9"/>
  <c r="D3" i="9"/>
  <c r="E2" i="9"/>
  <c r="D2" i="9"/>
</calcChain>
</file>

<file path=xl/sharedStrings.xml><?xml version="1.0" encoding="utf-8"?>
<sst xmlns="http://schemas.openxmlformats.org/spreadsheetml/2006/main" count="1064" uniqueCount="232">
  <si>
    <t>Subject ID</t>
  </si>
  <si>
    <t>True Age</t>
  </si>
  <si>
    <t>Predicted Age</t>
  </si>
  <si>
    <t>sub-01_run-01</t>
  </si>
  <si>
    <t>sub-01_run-02</t>
  </si>
  <si>
    <t>sub-01_run-03</t>
  </si>
  <si>
    <t>sub-01_run-04</t>
  </si>
  <si>
    <t>sub-01_run-05</t>
  </si>
  <si>
    <t>sub-01_run-06</t>
  </si>
  <si>
    <t>sub-01_run-07</t>
  </si>
  <si>
    <t>sub-01_run-08</t>
  </si>
  <si>
    <t>sub-01_run-09</t>
  </si>
  <si>
    <t>sub-01_run-10</t>
  </si>
  <si>
    <t>sub-01_run-11</t>
  </si>
  <si>
    <t>sub-01_run-12</t>
  </si>
  <si>
    <t>sub-01_run-13</t>
  </si>
  <si>
    <t>sub-01_run-14</t>
  </si>
  <si>
    <t>sub-01_run-15</t>
  </si>
  <si>
    <t>sub-01_run-16</t>
  </si>
  <si>
    <t>sub-01_run-17</t>
  </si>
  <si>
    <t>sub-01_run-18</t>
  </si>
  <si>
    <t>sub-01_run-19</t>
  </si>
  <si>
    <t>sub-01_run-20</t>
  </si>
  <si>
    <t>sub-01_run-21</t>
  </si>
  <si>
    <t>sub-01_run-22</t>
  </si>
  <si>
    <t>sub-01_run-23</t>
  </si>
  <si>
    <t>sub-01_run-24</t>
  </si>
  <si>
    <t>sub-01_run-25</t>
  </si>
  <si>
    <t>sub-01_run-26</t>
  </si>
  <si>
    <t>sub-01_run-27</t>
  </si>
  <si>
    <t>sub-01_run-28</t>
  </si>
  <si>
    <t>sub-01_run-29</t>
  </si>
  <si>
    <t>sub-01_run-30</t>
  </si>
  <si>
    <t>sub-01_run-31</t>
  </si>
  <si>
    <t>sub-01_run-32</t>
  </si>
  <si>
    <t>sub-01_run-33</t>
  </si>
  <si>
    <t>sub-01_run-34</t>
  </si>
  <si>
    <t>sub-01_run-35</t>
  </si>
  <si>
    <t>sub-01_run-36</t>
  </si>
  <si>
    <t>sub-01_run-37</t>
  </si>
  <si>
    <t>sub-01_run-38</t>
  </si>
  <si>
    <t>sub-01_run-39</t>
  </si>
  <si>
    <t>sub-01_run-40</t>
  </si>
  <si>
    <t>sub-02_run-01</t>
  </si>
  <si>
    <t>sub-02_run-02</t>
  </si>
  <si>
    <t>sub-02_run-03</t>
  </si>
  <si>
    <t>sub-02_run-04</t>
  </si>
  <si>
    <t>sub-02_run-05</t>
  </si>
  <si>
    <t>sub-02_run-06</t>
  </si>
  <si>
    <t>sub-02_run-07</t>
  </si>
  <si>
    <t>sub-02_run-08</t>
  </si>
  <si>
    <t>sub-02_run-09</t>
  </si>
  <si>
    <t>sub-02_run-10</t>
  </si>
  <si>
    <t>sub-02_run-11</t>
  </si>
  <si>
    <t>sub-02_run-12</t>
  </si>
  <si>
    <t>sub-02_run-13</t>
  </si>
  <si>
    <t>sub-02_run-14</t>
  </si>
  <si>
    <t>sub-02_run-15</t>
  </si>
  <si>
    <t>sub-02_run-16</t>
  </si>
  <si>
    <t>sub-02_run-17</t>
  </si>
  <si>
    <t>sub-02_run-18</t>
  </si>
  <si>
    <t>sub-02_run-19</t>
  </si>
  <si>
    <t>sub-02_run-20</t>
  </si>
  <si>
    <t>sub-02_run-21</t>
  </si>
  <si>
    <t>sub-02_run-22</t>
  </si>
  <si>
    <t>sub-02_run-23</t>
  </si>
  <si>
    <t>sub-02_run-24</t>
  </si>
  <si>
    <t>sub-02_run-25</t>
  </si>
  <si>
    <t>sub-02_run-26</t>
  </si>
  <si>
    <t>sub-02_run-27</t>
  </si>
  <si>
    <t>sub-02_run-28</t>
  </si>
  <si>
    <t>sub-02_run-29</t>
  </si>
  <si>
    <t>sub-02_run-30</t>
  </si>
  <si>
    <t>sub-02_run-31</t>
  </si>
  <si>
    <t>sub-02_run-32</t>
  </si>
  <si>
    <t>sub-02_run-33</t>
  </si>
  <si>
    <t>sub-02_run-34</t>
  </si>
  <si>
    <t>sub-02_run-35</t>
  </si>
  <si>
    <t>sub-02_run-36</t>
  </si>
  <si>
    <t>sub-02_run-37</t>
  </si>
  <si>
    <t>sub-02_run-38</t>
  </si>
  <si>
    <t>sub-02_run-39</t>
  </si>
  <si>
    <t>sub-02_run-40</t>
  </si>
  <si>
    <t>sub-03_run-01</t>
  </si>
  <si>
    <t>sub-03_run-02</t>
  </si>
  <si>
    <t>sub-03_run-03</t>
  </si>
  <si>
    <t>sub-03_run-04</t>
  </si>
  <si>
    <t>sub-03_run-05</t>
  </si>
  <si>
    <t>sub-03_run-06</t>
  </si>
  <si>
    <t>sub-03_run-07</t>
  </si>
  <si>
    <t>sub-03_run-08</t>
  </si>
  <si>
    <t>sub-03_run-09</t>
  </si>
  <si>
    <t>sub-03_run-10</t>
  </si>
  <si>
    <t>sub-03_run-11</t>
  </si>
  <si>
    <t>sub-03_run-12</t>
  </si>
  <si>
    <t>sub-03_run-13</t>
  </si>
  <si>
    <t>sub-03_run-14</t>
  </si>
  <si>
    <t>sub-03_run-15</t>
  </si>
  <si>
    <t>sub-03_run-16</t>
  </si>
  <si>
    <t>sub-03_run-17</t>
  </si>
  <si>
    <t>sub-03_run-18</t>
  </si>
  <si>
    <t>sub-03_run-19</t>
  </si>
  <si>
    <t>sub-03_run-20</t>
  </si>
  <si>
    <t>sub-03_run-21</t>
  </si>
  <si>
    <t>sub-03_run-22</t>
  </si>
  <si>
    <t>sub-03_run-23</t>
  </si>
  <si>
    <t>sub-03_run-24</t>
  </si>
  <si>
    <t>sub-03_run-25</t>
  </si>
  <si>
    <t>sub-03_run-26</t>
  </si>
  <si>
    <t>sub-03_run-27</t>
  </si>
  <si>
    <t>sub-03_run-28</t>
  </si>
  <si>
    <t>sub-03_run-29</t>
  </si>
  <si>
    <t>sub-03_run-30</t>
  </si>
  <si>
    <t>sub-03_run-31</t>
  </si>
  <si>
    <t>sub-03_run-32</t>
  </si>
  <si>
    <t>sub-03_run-33</t>
  </si>
  <si>
    <t>sub-03_run-34</t>
  </si>
  <si>
    <t>sub-03_run-35</t>
  </si>
  <si>
    <t>sub-03_run-36</t>
  </si>
  <si>
    <t>sub-03_run-37</t>
  </si>
  <si>
    <t>sub-03_run-38</t>
  </si>
  <si>
    <t>sub-03_run-39</t>
  </si>
  <si>
    <t>sub-03_run-40</t>
  </si>
  <si>
    <t>sub_113_30</t>
  </si>
  <si>
    <t>sub_113_33</t>
  </si>
  <si>
    <t>sub_127_7</t>
  </si>
  <si>
    <t>sub_127_34</t>
  </si>
  <si>
    <t>sub_142_6</t>
  </si>
  <si>
    <t>sub_142_20</t>
  </si>
  <si>
    <t>sub_239_12</t>
  </si>
  <si>
    <t>sub_239_19</t>
  </si>
  <si>
    <t>sub_346_39</t>
  </si>
  <si>
    <t>sub_346_41</t>
  </si>
  <si>
    <t>sub_422_9</t>
  </si>
  <si>
    <t>sub_422_42</t>
  </si>
  <si>
    <t>sub_492_18</t>
  </si>
  <si>
    <t>sub_492_38</t>
  </si>
  <si>
    <t>sub_502_32</t>
  </si>
  <si>
    <t>sub_502_36</t>
  </si>
  <si>
    <t>sub_505_16</t>
  </si>
  <si>
    <t>sub_505_35</t>
  </si>
  <si>
    <t>sub_656_28</t>
  </si>
  <si>
    <t>sub_656_40</t>
  </si>
  <si>
    <t>sub_679_3</t>
  </si>
  <si>
    <t>sub_679_22</t>
  </si>
  <si>
    <t>sub_742_8</t>
  </si>
  <si>
    <t>sub_742_29</t>
  </si>
  <si>
    <t>sub_800_23</t>
  </si>
  <si>
    <t>sub_800_27</t>
  </si>
  <si>
    <t>sub_814_15</t>
  </si>
  <si>
    <t>sub_814_26</t>
  </si>
  <si>
    <t>sub_815_10</t>
  </si>
  <si>
    <t>sub_815_21</t>
  </si>
  <si>
    <t>sub_849_1</t>
  </si>
  <si>
    <t>sub_849_25</t>
  </si>
  <si>
    <t>sub_906_4</t>
  </si>
  <si>
    <t>sub_906_11</t>
  </si>
  <si>
    <t>sub_913_5</t>
  </si>
  <si>
    <t>sub_913_31</t>
  </si>
  <si>
    <t>sub_916_13</t>
  </si>
  <si>
    <t>sub_916_24</t>
  </si>
  <si>
    <t>sub_934_2</t>
  </si>
  <si>
    <t>sub_934_37</t>
  </si>
  <si>
    <t>sub_959_14</t>
  </si>
  <si>
    <t>sub_959_17</t>
  </si>
  <si>
    <t>OAS1_0061_MR1</t>
  </si>
  <si>
    <t>OAS1_0061_MR2</t>
  </si>
  <si>
    <t>OAS1_0080_MR1</t>
  </si>
  <si>
    <t>OAS1_0080_MR2</t>
  </si>
  <si>
    <t>OAS1_0092_MR1</t>
  </si>
  <si>
    <t>OAS1_0092_MR2</t>
  </si>
  <si>
    <t>OAS1_0101_MR1</t>
  </si>
  <si>
    <t>OAS1_0101_MR2</t>
  </si>
  <si>
    <t>OAS1_0111_MR1</t>
  </si>
  <si>
    <t>OAS1_0111_MR2</t>
  </si>
  <si>
    <t>OAS1_0117_MR1</t>
  </si>
  <si>
    <t>OAS1_0117_MR2</t>
  </si>
  <si>
    <t>OAS1_0145_MR1</t>
  </si>
  <si>
    <t>OAS1_0145_MR2</t>
  </si>
  <si>
    <t>OAS1_0150_MR1</t>
  </si>
  <si>
    <t>OAS1_0150_MR2</t>
  </si>
  <si>
    <t>OAS1_0156_MR1</t>
  </si>
  <si>
    <t>OAS1_0156_MR2</t>
  </si>
  <si>
    <t>OAS1_0191_MR1</t>
  </si>
  <si>
    <t>OAS1_0191_MR2</t>
  </si>
  <si>
    <t>OAS1_0202_MR1</t>
  </si>
  <si>
    <t>OAS1_0202_MR2</t>
  </si>
  <si>
    <t>OAS1_0230_MR1</t>
  </si>
  <si>
    <t>OAS1_0230_MR2</t>
  </si>
  <si>
    <t>OAS1_0236_MR1</t>
  </si>
  <si>
    <t>OAS1_0236_MR2</t>
  </si>
  <si>
    <t>OAS1_0239_MR1</t>
  </si>
  <si>
    <t>OAS1_0239_MR2</t>
  </si>
  <si>
    <t>OAS1_0249_MR1</t>
  </si>
  <si>
    <t>OAS1_0249_MR2</t>
  </si>
  <si>
    <t>OAS1_0285_MR1</t>
  </si>
  <si>
    <t>OAS1_0285_MR2</t>
  </si>
  <si>
    <t>OAS1_0353_MR1</t>
  </si>
  <si>
    <t>OAS1_0353_MR2</t>
  </si>
  <si>
    <t>OAS1_0368_MR1</t>
  </si>
  <si>
    <t>OAS1_0368_MR2</t>
  </si>
  <si>
    <t>OAS1_0379_MR1</t>
  </si>
  <si>
    <t>OAS1_0379_MR2</t>
  </si>
  <si>
    <t>OAS1_0395_MR1</t>
  </si>
  <si>
    <t>OAS1_0395_MR2</t>
  </si>
  <si>
    <t>MAE</t>
    <phoneticPr fontId="2" type="noConversion"/>
  </si>
  <si>
    <t>MAD</t>
    <phoneticPr fontId="2" type="noConversion"/>
  </si>
  <si>
    <t>Sex (1=Male, 2=Female)</t>
    <phoneticPr fontId="3" type="noConversion"/>
  </si>
  <si>
    <t>Scanner</t>
  </si>
  <si>
    <t>pair</t>
    <phoneticPr fontId="2" type="noConversion"/>
  </si>
  <si>
    <t>OAS1_0061</t>
  </si>
  <si>
    <t>OAS1_0080</t>
  </si>
  <si>
    <t>OAS1_0092</t>
  </si>
  <si>
    <t>OAS1_0101</t>
  </si>
  <si>
    <t>OAS1_0111</t>
  </si>
  <si>
    <t>OAS1_0117</t>
  </si>
  <si>
    <t>OAS1_0145</t>
  </si>
  <si>
    <t>OAS1_0150</t>
  </si>
  <si>
    <t>OAS1_0156</t>
  </si>
  <si>
    <t>OAS1_0191</t>
  </si>
  <si>
    <t>OAS1_0202</t>
  </si>
  <si>
    <t>OAS1_0230</t>
  </si>
  <si>
    <t>OAS1_0236</t>
  </si>
  <si>
    <t>OAS1_0239</t>
  </si>
  <si>
    <t>OAS1_0249</t>
  </si>
  <si>
    <t>OAS1_0285</t>
  </si>
  <si>
    <t>OAS1_0353</t>
  </si>
  <si>
    <t>OAS1_0368</t>
  </si>
  <si>
    <t>OAS1_0379</t>
  </si>
  <si>
    <t>OAS1_0395</t>
  </si>
  <si>
    <t>Sex (1=Male, 2=Female)</t>
    <phoneticPr fontId="2" type="noConversion"/>
  </si>
  <si>
    <t>Scanner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</si>
</sst>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/>
    </xf>
    <xf numFmtId="0" fontId="4" fillId="0" borderId="0" xfId="0" applyFont="1" applyAlignment="1">
      <alignment horizontal="right"/>
    </xf>
  </cellXfs>
  <cellStyles count="1">
    <cellStyle name="一般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1"/>
  <sheetViews>
    <sheetView topLeftCell="A99" workbookViewId="0">
      <selection activeCell="D122" sqref="D122"/>
    </sheetView>
  </sheetViews>
  <sheetFormatPr defaultRowHeight="15.75" x14ac:dyDescent="0.25"/>
  <cols>
    <col min="1" max="1" width="14" bestFit="1" customWidth="1"/>
    <col min="2" max="2" width="10.5703125" bestFit="1" customWidth="1"/>
    <col min="3" max="3" width="15.5703125" bestFit="1" customWidth="1"/>
    <col min="4" max="5" width="13" bestFit="1" customWidth="1"/>
    <col min="6" max="6" width="27.140625" bestFit="1" customWidth="1"/>
    <col min="8" max="8" width="5.42578125" bestFit="1" customWidth="1"/>
    <col min="10" max="10" width="9.5703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205</v>
      </c>
      <c r="E1" s="1" t="s">
        <v>206</v>
      </c>
      <c r="F1" s="1" t="s">
        <v>230</v>
      </c>
      <c r="G1" s="1" t="s">
        <v>231</v>
      </c>
      <c r="H1" s="1" t="s">
        <v>209</v>
      </c>
    </row>
    <row r="2" spans="1:8" ht="16.5" x14ac:dyDescent="0.25">
      <c r="A2" t="s">
        <v>3</v>
      </c>
      <c r="B2">
        <v>26</v>
      </c>
      <c r="C2">
        <v>35.455307006835938</v>
      </c>
      <c r="D2">
        <f>ABS(C2-B2)</f>
        <v>9.4553070068359375</v>
      </c>
      <c r="E2">
        <f>IF(MOD(ROW(),2)=0,ABS(C2-C3),"")</f>
        <v>1.9240989685058594</v>
      </c>
      <c r="F2" s="3">
        <v>1</v>
      </c>
      <c r="G2" s="2">
        <v>3</v>
      </c>
      <c r="H2">
        <v>101</v>
      </c>
    </row>
    <row r="3" spans="1:8" x14ac:dyDescent="0.25">
      <c r="A3" t="s">
        <v>4</v>
      </c>
      <c r="B3">
        <v>26</v>
      </c>
      <c r="C3">
        <v>37.379405975341797</v>
      </c>
      <c r="D3">
        <f t="shared" ref="D3:D66" si="0">ABS(C3-B3)</f>
        <v>11.379405975341797</v>
      </c>
      <c r="E3" t="str">
        <f t="shared" ref="E3:E66" si="1">IF(MOD(ROW(),2)=0,ABS(C3-C4),"")</f>
        <v/>
      </c>
      <c r="F3" s="2">
        <v>1</v>
      </c>
      <c r="G3" s="2">
        <v>3</v>
      </c>
      <c r="H3">
        <v>101</v>
      </c>
    </row>
    <row r="4" spans="1:8" x14ac:dyDescent="0.25">
      <c r="A4" t="s">
        <v>5</v>
      </c>
      <c r="B4">
        <v>26</v>
      </c>
      <c r="C4">
        <v>34.235427856445313</v>
      </c>
      <c r="D4">
        <f t="shared" si="0"/>
        <v>8.2354278564453125</v>
      </c>
      <c r="E4">
        <f t="shared" si="1"/>
        <v>0.866363525390625</v>
      </c>
      <c r="F4" s="2">
        <v>1</v>
      </c>
      <c r="G4" s="2">
        <v>3</v>
      </c>
      <c r="H4">
        <v>102</v>
      </c>
    </row>
    <row r="5" spans="1:8" x14ac:dyDescent="0.25">
      <c r="A5" t="s">
        <v>6</v>
      </c>
      <c r="B5">
        <v>26</v>
      </c>
      <c r="C5">
        <v>35.101791381835938</v>
      </c>
      <c r="D5">
        <f t="shared" si="0"/>
        <v>9.1017913818359375</v>
      </c>
      <c r="E5" t="str">
        <f t="shared" si="1"/>
        <v/>
      </c>
      <c r="F5" s="2">
        <v>1</v>
      </c>
      <c r="G5" s="2">
        <v>3</v>
      </c>
      <c r="H5">
        <v>102</v>
      </c>
    </row>
    <row r="6" spans="1:8" x14ac:dyDescent="0.25">
      <c r="A6" t="s">
        <v>7</v>
      </c>
      <c r="B6">
        <v>26</v>
      </c>
      <c r="C6">
        <v>33.002552032470703</v>
      </c>
      <c r="D6">
        <f t="shared" si="0"/>
        <v>7.0025520324707031</v>
      </c>
      <c r="E6">
        <f t="shared" si="1"/>
        <v>4.8080978393554688</v>
      </c>
      <c r="F6" s="2">
        <v>1</v>
      </c>
      <c r="G6" s="2">
        <v>3</v>
      </c>
      <c r="H6">
        <v>103</v>
      </c>
    </row>
    <row r="7" spans="1:8" x14ac:dyDescent="0.25">
      <c r="A7" t="s">
        <v>8</v>
      </c>
      <c r="B7">
        <v>26</v>
      </c>
      <c r="C7">
        <v>37.810649871826172</v>
      </c>
      <c r="D7">
        <f t="shared" si="0"/>
        <v>11.810649871826172</v>
      </c>
      <c r="E7" t="str">
        <f t="shared" si="1"/>
        <v/>
      </c>
      <c r="F7" s="2">
        <v>1</v>
      </c>
      <c r="G7" s="2">
        <v>3</v>
      </c>
      <c r="H7">
        <v>103</v>
      </c>
    </row>
    <row r="8" spans="1:8" x14ac:dyDescent="0.25">
      <c r="A8" t="s">
        <v>9</v>
      </c>
      <c r="B8">
        <v>26</v>
      </c>
      <c r="C8">
        <v>32.377742767333977</v>
      </c>
      <c r="D8">
        <f t="shared" si="0"/>
        <v>6.3777427673339773</v>
      </c>
      <c r="E8">
        <f t="shared" si="1"/>
        <v>7.5324363708496094</v>
      </c>
      <c r="F8" s="2">
        <v>1</v>
      </c>
      <c r="G8" s="2">
        <v>3</v>
      </c>
      <c r="H8">
        <v>104</v>
      </c>
    </row>
    <row r="9" spans="1:8" x14ac:dyDescent="0.25">
      <c r="A9" t="s">
        <v>10</v>
      </c>
      <c r="B9">
        <v>26</v>
      </c>
      <c r="C9">
        <v>39.910179138183587</v>
      </c>
      <c r="D9">
        <f t="shared" si="0"/>
        <v>13.910179138183587</v>
      </c>
      <c r="E9" t="str">
        <f t="shared" si="1"/>
        <v/>
      </c>
      <c r="F9" s="2">
        <v>1</v>
      </c>
      <c r="G9" s="2">
        <v>3</v>
      </c>
      <c r="H9">
        <v>104</v>
      </c>
    </row>
    <row r="10" spans="1:8" x14ac:dyDescent="0.25">
      <c r="A10" t="s">
        <v>11</v>
      </c>
      <c r="B10">
        <v>26</v>
      </c>
      <c r="C10">
        <v>32.830036163330078</v>
      </c>
      <c r="D10">
        <f t="shared" si="0"/>
        <v>6.8300361633300781</v>
      </c>
      <c r="E10">
        <f t="shared" si="1"/>
        <v>7.830821990966804</v>
      </c>
      <c r="F10" s="2">
        <v>1</v>
      </c>
      <c r="G10" s="2">
        <v>3</v>
      </c>
      <c r="H10">
        <v>105</v>
      </c>
    </row>
    <row r="11" spans="1:8" x14ac:dyDescent="0.25">
      <c r="A11" t="s">
        <v>12</v>
      </c>
      <c r="B11">
        <v>26</v>
      </c>
      <c r="C11">
        <v>40.660858154296882</v>
      </c>
      <c r="D11">
        <f t="shared" si="0"/>
        <v>14.660858154296882</v>
      </c>
      <c r="E11" t="str">
        <f t="shared" si="1"/>
        <v/>
      </c>
      <c r="F11" s="2">
        <v>1</v>
      </c>
      <c r="G11" s="2">
        <v>3</v>
      </c>
      <c r="H11">
        <v>105</v>
      </c>
    </row>
    <row r="12" spans="1:8" x14ac:dyDescent="0.25">
      <c r="A12" t="s">
        <v>13</v>
      </c>
      <c r="B12">
        <v>26</v>
      </c>
      <c r="C12">
        <v>39.761726379394531</v>
      </c>
      <c r="D12">
        <f t="shared" si="0"/>
        <v>13.761726379394531</v>
      </c>
      <c r="E12">
        <f t="shared" si="1"/>
        <v>0.74295425415039063</v>
      </c>
      <c r="F12" s="2">
        <v>1</v>
      </c>
      <c r="G12" s="2">
        <v>3</v>
      </c>
      <c r="H12">
        <v>106</v>
      </c>
    </row>
    <row r="13" spans="1:8" x14ac:dyDescent="0.25">
      <c r="A13" t="s">
        <v>14</v>
      </c>
      <c r="B13">
        <v>26</v>
      </c>
      <c r="C13">
        <v>39.018772125244141</v>
      </c>
      <c r="D13">
        <f t="shared" si="0"/>
        <v>13.018772125244141</v>
      </c>
      <c r="E13" t="str">
        <f t="shared" si="1"/>
        <v/>
      </c>
      <c r="F13" s="2">
        <v>1</v>
      </c>
      <c r="G13" s="2">
        <v>3</v>
      </c>
      <c r="H13">
        <v>106</v>
      </c>
    </row>
    <row r="14" spans="1:8" x14ac:dyDescent="0.25">
      <c r="A14" t="s">
        <v>15</v>
      </c>
      <c r="B14">
        <v>26</v>
      </c>
      <c r="C14">
        <v>38.524665832519531</v>
      </c>
      <c r="D14">
        <f t="shared" si="0"/>
        <v>12.524665832519531</v>
      </c>
      <c r="E14">
        <f t="shared" si="1"/>
        <v>1.1605529785156179</v>
      </c>
      <c r="F14" s="2">
        <v>1</v>
      </c>
      <c r="G14" s="2">
        <v>3</v>
      </c>
      <c r="H14">
        <v>107</v>
      </c>
    </row>
    <row r="15" spans="1:8" x14ac:dyDescent="0.25">
      <c r="A15" t="s">
        <v>16</v>
      </c>
      <c r="B15">
        <v>26</v>
      </c>
      <c r="C15">
        <v>37.364112854003913</v>
      </c>
      <c r="D15">
        <f t="shared" si="0"/>
        <v>11.364112854003913</v>
      </c>
      <c r="E15" t="str">
        <f t="shared" si="1"/>
        <v/>
      </c>
      <c r="F15" s="2">
        <v>1</v>
      </c>
      <c r="G15" s="2">
        <v>3</v>
      </c>
      <c r="H15">
        <v>107</v>
      </c>
    </row>
    <row r="16" spans="1:8" x14ac:dyDescent="0.25">
      <c r="A16" t="s">
        <v>17</v>
      </c>
      <c r="B16">
        <v>26</v>
      </c>
      <c r="C16">
        <v>33.842735290527337</v>
      </c>
      <c r="D16">
        <f t="shared" si="0"/>
        <v>7.8427352905273366</v>
      </c>
      <c r="E16">
        <f t="shared" si="1"/>
        <v>1.9658050537109446</v>
      </c>
      <c r="F16" s="2">
        <v>1</v>
      </c>
      <c r="G16" s="2">
        <v>3</v>
      </c>
      <c r="H16">
        <v>108</v>
      </c>
    </row>
    <row r="17" spans="1:8" x14ac:dyDescent="0.25">
      <c r="A17" t="s">
        <v>18</v>
      </c>
      <c r="B17">
        <v>26</v>
      </c>
      <c r="C17">
        <v>35.808540344238281</v>
      </c>
      <c r="D17">
        <f t="shared" si="0"/>
        <v>9.8085403442382813</v>
      </c>
      <c r="E17" t="str">
        <f t="shared" si="1"/>
        <v/>
      </c>
      <c r="F17" s="2">
        <v>1</v>
      </c>
      <c r="G17" s="2">
        <v>3</v>
      </c>
      <c r="H17">
        <v>108</v>
      </c>
    </row>
    <row r="18" spans="1:8" x14ac:dyDescent="0.25">
      <c r="A18" t="s">
        <v>19</v>
      </c>
      <c r="B18">
        <v>26</v>
      </c>
      <c r="C18">
        <v>39.654521942138672</v>
      </c>
      <c r="D18">
        <f t="shared" si="0"/>
        <v>13.654521942138672</v>
      </c>
      <c r="E18">
        <f t="shared" si="1"/>
        <v>0.240142822265625</v>
      </c>
      <c r="F18" s="2">
        <v>1</v>
      </c>
      <c r="G18" s="2">
        <v>3</v>
      </c>
      <c r="H18">
        <v>109</v>
      </c>
    </row>
    <row r="19" spans="1:8" x14ac:dyDescent="0.25">
      <c r="A19" t="s">
        <v>20</v>
      </c>
      <c r="B19">
        <v>26</v>
      </c>
      <c r="C19">
        <v>39.414379119873047</v>
      </c>
      <c r="D19">
        <f t="shared" si="0"/>
        <v>13.414379119873047</v>
      </c>
      <c r="E19" t="str">
        <f t="shared" si="1"/>
        <v/>
      </c>
      <c r="F19" s="2">
        <v>1</v>
      </c>
      <c r="G19" s="2">
        <v>3</v>
      </c>
      <c r="H19">
        <v>109</v>
      </c>
    </row>
    <row r="20" spans="1:8" x14ac:dyDescent="0.25">
      <c r="A20" t="s">
        <v>21</v>
      </c>
      <c r="B20">
        <v>26</v>
      </c>
      <c r="C20">
        <v>40.9727783203125</v>
      </c>
      <c r="D20">
        <f t="shared" si="0"/>
        <v>14.9727783203125</v>
      </c>
      <c r="E20">
        <f t="shared" si="1"/>
        <v>2.1788406372070313</v>
      </c>
      <c r="F20" s="2">
        <v>1</v>
      </c>
      <c r="G20" s="2">
        <v>3</v>
      </c>
      <c r="H20">
        <v>110</v>
      </c>
    </row>
    <row r="21" spans="1:8" x14ac:dyDescent="0.25">
      <c r="A21" t="s">
        <v>22</v>
      </c>
      <c r="B21">
        <v>26</v>
      </c>
      <c r="C21">
        <v>38.793937683105469</v>
      </c>
      <c r="D21">
        <f t="shared" si="0"/>
        <v>12.793937683105469</v>
      </c>
      <c r="E21" t="str">
        <f t="shared" si="1"/>
        <v/>
      </c>
      <c r="F21" s="2">
        <v>1</v>
      </c>
      <c r="G21" s="2">
        <v>3</v>
      </c>
      <c r="H21">
        <v>110</v>
      </c>
    </row>
    <row r="22" spans="1:8" x14ac:dyDescent="0.25">
      <c r="A22" t="s">
        <v>23</v>
      </c>
      <c r="B22">
        <v>26</v>
      </c>
      <c r="C22">
        <v>37.866539001464837</v>
      </c>
      <c r="D22">
        <f t="shared" si="0"/>
        <v>11.866539001464837</v>
      </c>
      <c r="E22">
        <f t="shared" si="1"/>
        <v>2.8837661743164134</v>
      </c>
      <c r="F22" s="2">
        <v>1</v>
      </c>
      <c r="G22" s="2">
        <v>3</v>
      </c>
      <c r="H22">
        <v>111</v>
      </c>
    </row>
    <row r="23" spans="1:8" x14ac:dyDescent="0.25">
      <c r="A23" t="s">
        <v>24</v>
      </c>
      <c r="B23">
        <v>26</v>
      </c>
      <c r="C23">
        <v>40.75030517578125</v>
      </c>
      <c r="D23">
        <f t="shared" si="0"/>
        <v>14.75030517578125</v>
      </c>
      <c r="E23" t="str">
        <f t="shared" si="1"/>
        <v/>
      </c>
      <c r="F23" s="2">
        <v>1</v>
      </c>
      <c r="G23" s="2">
        <v>3</v>
      </c>
      <c r="H23">
        <v>111</v>
      </c>
    </row>
    <row r="24" spans="1:8" x14ac:dyDescent="0.25">
      <c r="A24" t="s">
        <v>25</v>
      </c>
      <c r="B24">
        <v>26</v>
      </c>
      <c r="C24">
        <v>39.878730773925781</v>
      </c>
      <c r="D24">
        <f t="shared" si="0"/>
        <v>13.878730773925781</v>
      </c>
      <c r="E24">
        <f t="shared" si="1"/>
        <v>1.45147705078125</v>
      </c>
      <c r="F24" s="2">
        <v>1</v>
      </c>
      <c r="G24" s="2">
        <v>3</v>
      </c>
      <c r="H24">
        <v>112</v>
      </c>
    </row>
    <row r="25" spans="1:8" x14ac:dyDescent="0.25">
      <c r="A25" t="s">
        <v>26</v>
      </c>
      <c r="B25">
        <v>26</v>
      </c>
      <c r="C25">
        <v>41.330207824707031</v>
      </c>
      <c r="D25">
        <f t="shared" si="0"/>
        <v>15.330207824707031</v>
      </c>
      <c r="E25" t="str">
        <f t="shared" si="1"/>
        <v/>
      </c>
      <c r="F25" s="2">
        <v>1</v>
      </c>
      <c r="G25" s="2">
        <v>3</v>
      </c>
      <c r="H25">
        <v>112</v>
      </c>
    </row>
    <row r="26" spans="1:8" x14ac:dyDescent="0.25">
      <c r="A26" t="s">
        <v>27</v>
      </c>
      <c r="B26">
        <v>26</v>
      </c>
      <c r="C26">
        <v>38.044441223144531</v>
      </c>
      <c r="D26">
        <f t="shared" si="0"/>
        <v>12.044441223144531</v>
      </c>
      <c r="E26">
        <f t="shared" si="1"/>
        <v>3.0212783813476563</v>
      </c>
      <c r="F26" s="2">
        <v>1</v>
      </c>
      <c r="G26" s="2">
        <v>3</v>
      </c>
      <c r="H26">
        <v>113</v>
      </c>
    </row>
    <row r="27" spans="1:8" x14ac:dyDescent="0.25">
      <c r="A27" t="s">
        <v>28</v>
      </c>
      <c r="B27">
        <v>26</v>
      </c>
      <c r="C27">
        <v>41.065719604492188</v>
      </c>
      <c r="D27">
        <f t="shared" si="0"/>
        <v>15.065719604492188</v>
      </c>
      <c r="E27" t="str">
        <f t="shared" si="1"/>
        <v/>
      </c>
      <c r="F27" s="2">
        <v>1</v>
      </c>
      <c r="G27" s="2">
        <v>3</v>
      </c>
      <c r="H27">
        <v>113</v>
      </c>
    </row>
    <row r="28" spans="1:8" x14ac:dyDescent="0.25">
      <c r="A28" t="s">
        <v>29</v>
      </c>
      <c r="B28">
        <v>26</v>
      </c>
      <c r="C28">
        <v>40.730445861816413</v>
      </c>
      <c r="D28">
        <f t="shared" si="0"/>
        <v>14.730445861816413</v>
      </c>
      <c r="E28">
        <f t="shared" si="1"/>
        <v>0.17048645019532671</v>
      </c>
      <c r="F28" s="2">
        <v>1</v>
      </c>
      <c r="G28" s="2">
        <v>3</v>
      </c>
      <c r="H28">
        <v>114</v>
      </c>
    </row>
    <row r="29" spans="1:8" x14ac:dyDescent="0.25">
      <c r="A29" t="s">
        <v>30</v>
      </c>
      <c r="B29">
        <v>26</v>
      </c>
      <c r="C29">
        <v>40.559959411621087</v>
      </c>
      <c r="D29">
        <f t="shared" si="0"/>
        <v>14.559959411621087</v>
      </c>
      <c r="E29" t="str">
        <f t="shared" si="1"/>
        <v/>
      </c>
      <c r="F29" s="2">
        <v>1</v>
      </c>
      <c r="G29" s="2">
        <v>3</v>
      </c>
      <c r="H29">
        <v>114</v>
      </c>
    </row>
    <row r="30" spans="1:8" x14ac:dyDescent="0.25">
      <c r="A30" t="s">
        <v>31</v>
      </c>
      <c r="B30">
        <v>26</v>
      </c>
      <c r="C30">
        <v>41.528060913085938</v>
      </c>
      <c r="D30">
        <f t="shared" si="0"/>
        <v>15.528060913085938</v>
      </c>
      <c r="E30">
        <f t="shared" si="1"/>
        <v>1.9665794372558594</v>
      </c>
      <c r="F30" s="2">
        <v>1</v>
      </c>
      <c r="G30" s="2">
        <v>3</v>
      </c>
      <c r="H30">
        <v>115</v>
      </c>
    </row>
    <row r="31" spans="1:8" x14ac:dyDescent="0.25">
      <c r="A31" t="s">
        <v>32</v>
      </c>
      <c r="B31">
        <v>26</v>
      </c>
      <c r="C31">
        <v>39.561481475830078</v>
      </c>
      <c r="D31">
        <f t="shared" si="0"/>
        <v>13.561481475830078</v>
      </c>
      <c r="E31" t="str">
        <f t="shared" si="1"/>
        <v/>
      </c>
      <c r="F31" s="2">
        <v>1</v>
      </c>
      <c r="G31" s="2">
        <v>3</v>
      </c>
      <c r="H31">
        <v>115</v>
      </c>
    </row>
    <row r="32" spans="1:8" x14ac:dyDescent="0.25">
      <c r="A32" t="s">
        <v>33</v>
      </c>
      <c r="B32">
        <v>26</v>
      </c>
      <c r="C32">
        <v>39.292011260986328</v>
      </c>
      <c r="D32">
        <f t="shared" si="0"/>
        <v>13.292011260986328</v>
      </c>
      <c r="E32">
        <f t="shared" si="1"/>
        <v>3.5158195495605469</v>
      </c>
      <c r="F32" s="2">
        <v>1</v>
      </c>
      <c r="G32" s="2">
        <v>3</v>
      </c>
      <c r="H32">
        <v>116</v>
      </c>
    </row>
    <row r="33" spans="1:8" x14ac:dyDescent="0.25">
      <c r="A33" t="s">
        <v>34</v>
      </c>
      <c r="B33">
        <v>26</v>
      </c>
      <c r="C33">
        <v>35.776191711425781</v>
      </c>
      <c r="D33">
        <f t="shared" si="0"/>
        <v>9.7761917114257813</v>
      </c>
      <c r="E33" t="str">
        <f t="shared" si="1"/>
        <v/>
      </c>
      <c r="F33" s="2">
        <v>1</v>
      </c>
      <c r="G33" s="2">
        <v>3</v>
      </c>
      <c r="H33">
        <v>116</v>
      </c>
    </row>
    <row r="34" spans="1:8" x14ac:dyDescent="0.25">
      <c r="A34" t="s">
        <v>35</v>
      </c>
      <c r="B34">
        <v>26</v>
      </c>
      <c r="C34">
        <v>40.120864868164063</v>
      </c>
      <c r="D34">
        <f t="shared" si="0"/>
        <v>14.120864868164063</v>
      </c>
      <c r="E34">
        <f t="shared" si="1"/>
        <v>1.3672943115234446</v>
      </c>
      <c r="F34" s="2">
        <v>1</v>
      </c>
      <c r="G34" s="2">
        <v>3</v>
      </c>
      <c r="H34">
        <v>117</v>
      </c>
    </row>
    <row r="35" spans="1:8" x14ac:dyDescent="0.25">
      <c r="A35" t="s">
        <v>36</v>
      </c>
      <c r="B35">
        <v>26</v>
      </c>
      <c r="C35">
        <v>38.753570556640618</v>
      </c>
      <c r="D35">
        <f t="shared" si="0"/>
        <v>12.753570556640618</v>
      </c>
      <c r="E35" t="str">
        <f t="shared" si="1"/>
        <v/>
      </c>
      <c r="F35" s="2">
        <v>1</v>
      </c>
      <c r="G35" s="2">
        <v>3</v>
      </c>
      <c r="H35">
        <v>117</v>
      </c>
    </row>
    <row r="36" spans="1:8" x14ac:dyDescent="0.25">
      <c r="A36" t="s">
        <v>37</v>
      </c>
      <c r="B36">
        <v>26</v>
      </c>
      <c r="C36">
        <v>36.285163879394531</v>
      </c>
      <c r="D36">
        <f t="shared" si="0"/>
        <v>10.285163879394531</v>
      </c>
      <c r="E36">
        <f t="shared" si="1"/>
        <v>4.1379089355468821</v>
      </c>
      <c r="F36" s="2">
        <v>1</v>
      </c>
      <c r="G36" s="2">
        <v>3</v>
      </c>
      <c r="H36">
        <v>118</v>
      </c>
    </row>
    <row r="37" spans="1:8" x14ac:dyDescent="0.25">
      <c r="A37" t="s">
        <v>38</v>
      </c>
      <c r="B37">
        <v>26</v>
      </c>
      <c r="C37">
        <v>40.423072814941413</v>
      </c>
      <c r="D37">
        <f t="shared" si="0"/>
        <v>14.423072814941413</v>
      </c>
      <c r="E37" t="str">
        <f t="shared" si="1"/>
        <v/>
      </c>
      <c r="F37" s="2">
        <v>1</v>
      </c>
      <c r="G37" s="2">
        <v>3</v>
      </c>
      <c r="H37">
        <v>118</v>
      </c>
    </row>
    <row r="38" spans="1:8" x14ac:dyDescent="0.25">
      <c r="A38" t="s">
        <v>39</v>
      </c>
      <c r="B38">
        <v>26</v>
      </c>
      <c r="C38">
        <v>38.80731201171875</v>
      </c>
      <c r="D38">
        <f t="shared" si="0"/>
        <v>12.80731201171875</v>
      </c>
      <c r="E38">
        <f t="shared" si="1"/>
        <v>2.0185089111328125</v>
      </c>
      <c r="F38" s="2">
        <v>1</v>
      </c>
      <c r="G38" s="2">
        <v>3</v>
      </c>
      <c r="H38">
        <v>119</v>
      </c>
    </row>
    <row r="39" spans="1:8" x14ac:dyDescent="0.25">
      <c r="A39" t="s">
        <v>40</v>
      </c>
      <c r="B39">
        <v>26</v>
      </c>
      <c r="C39">
        <v>36.788803100585938</v>
      </c>
      <c r="D39">
        <f t="shared" si="0"/>
        <v>10.788803100585938</v>
      </c>
      <c r="E39" t="str">
        <f t="shared" si="1"/>
        <v/>
      </c>
      <c r="F39" s="2">
        <v>1</v>
      </c>
      <c r="G39" s="2">
        <v>3</v>
      </c>
      <c r="H39">
        <v>119</v>
      </c>
    </row>
    <row r="40" spans="1:8" x14ac:dyDescent="0.25">
      <c r="A40" t="s">
        <v>41</v>
      </c>
      <c r="B40">
        <v>26</v>
      </c>
      <c r="C40">
        <v>40.421058654785163</v>
      </c>
      <c r="D40">
        <f t="shared" si="0"/>
        <v>14.421058654785163</v>
      </c>
      <c r="E40">
        <f t="shared" si="1"/>
        <v>0.98195648193360086</v>
      </c>
      <c r="F40" s="2">
        <v>1</v>
      </c>
      <c r="G40" s="2">
        <v>3</v>
      </c>
      <c r="H40">
        <v>120</v>
      </c>
    </row>
    <row r="41" spans="1:8" x14ac:dyDescent="0.25">
      <c r="A41" t="s">
        <v>42</v>
      </c>
      <c r="B41">
        <v>26</v>
      </c>
      <c r="C41">
        <v>39.439102172851563</v>
      </c>
      <c r="D41">
        <f t="shared" si="0"/>
        <v>13.439102172851563</v>
      </c>
      <c r="E41" t="str">
        <f t="shared" si="1"/>
        <v/>
      </c>
      <c r="F41" s="2">
        <v>1</v>
      </c>
      <c r="G41" s="2">
        <v>3</v>
      </c>
      <c r="H41">
        <v>120</v>
      </c>
    </row>
    <row r="42" spans="1:8" x14ac:dyDescent="0.25">
      <c r="A42" t="s">
        <v>43</v>
      </c>
      <c r="B42">
        <v>31</v>
      </c>
      <c r="C42">
        <v>41.262962341308587</v>
      </c>
      <c r="D42">
        <f t="shared" si="0"/>
        <v>10.262962341308587</v>
      </c>
      <c r="E42">
        <f t="shared" si="1"/>
        <v>5.2735595703125</v>
      </c>
      <c r="F42" s="2">
        <v>1</v>
      </c>
      <c r="G42" s="2">
        <v>3</v>
      </c>
      <c r="H42">
        <v>201</v>
      </c>
    </row>
    <row r="43" spans="1:8" x14ac:dyDescent="0.25">
      <c r="A43" t="s">
        <v>44</v>
      </c>
      <c r="B43">
        <v>31</v>
      </c>
      <c r="C43">
        <v>35.989402770996087</v>
      </c>
      <c r="D43">
        <f t="shared" si="0"/>
        <v>4.9894027709960866</v>
      </c>
      <c r="E43" t="str">
        <f t="shared" si="1"/>
        <v/>
      </c>
      <c r="F43" s="2">
        <v>1</v>
      </c>
      <c r="G43" s="2">
        <v>3</v>
      </c>
      <c r="H43">
        <v>201</v>
      </c>
    </row>
    <row r="44" spans="1:8" x14ac:dyDescent="0.25">
      <c r="A44" t="s">
        <v>45</v>
      </c>
      <c r="B44">
        <v>31</v>
      </c>
      <c r="C44">
        <v>33.450462341308587</v>
      </c>
      <c r="D44">
        <f t="shared" si="0"/>
        <v>2.4504623413085866</v>
      </c>
      <c r="E44">
        <f t="shared" si="1"/>
        <v>4.9560890197753906</v>
      </c>
      <c r="F44" s="2">
        <v>1</v>
      </c>
      <c r="G44" s="2">
        <v>3</v>
      </c>
      <c r="H44">
        <v>202</v>
      </c>
    </row>
    <row r="45" spans="1:8" x14ac:dyDescent="0.25">
      <c r="A45" t="s">
        <v>46</v>
      </c>
      <c r="B45">
        <v>31</v>
      </c>
      <c r="C45">
        <v>38.406551361083977</v>
      </c>
      <c r="D45">
        <f t="shared" si="0"/>
        <v>7.4065513610839773</v>
      </c>
      <c r="E45" t="str">
        <f t="shared" si="1"/>
        <v/>
      </c>
      <c r="F45" s="2">
        <v>1</v>
      </c>
      <c r="G45" s="2">
        <v>3</v>
      </c>
      <c r="H45">
        <v>202</v>
      </c>
    </row>
    <row r="46" spans="1:8" x14ac:dyDescent="0.25">
      <c r="A46" t="s">
        <v>47</v>
      </c>
      <c r="B46">
        <v>31</v>
      </c>
      <c r="C46">
        <v>38.988273620605469</v>
      </c>
      <c r="D46">
        <f t="shared" si="0"/>
        <v>7.9882736206054688</v>
      </c>
      <c r="E46">
        <f t="shared" si="1"/>
        <v>6.6024208068847656</v>
      </c>
      <c r="F46" s="2">
        <v>1</v>
      </c>
      <c r="G46" s="2">
        <v>3</v>
      </c>
      <c r="H46">
        <v>203</v>
      </c>
    </row>
    <row r="47" spans="1:8" x14ac:dyDescent="0.25">
      <c r="A47" t="s">
        <v>48</v>
      </c>
      <c r="B47">
        <v>31</v>
      </c>
      <c r="C47">
        <v>32.385852813720703</v>
      </c>
      <c r="D47">
        <f t="shared" si="0"/>
        <v>1.3858528137207031</v>
      </c>
      <c r="E47" t="str">
        <f t="shared" si="1"/>
        <v/>
      </c>
      <c r="F47" s="2">
        <v>1</v>
      </c>
      <c r="G47" s="2">
        <v>3</v>
      </c>
      <c r="H47">
        <v>203</v>
      </c>
    </row>
    <row r="48" spans="1:8" x14ac:dyDescent="0.25">
      <c r="A48" t="s">
        <v>49</v>
      </c>
      <c r="B48">
        <v>31</v>
      </c>
      <c r="C48">
        <v>35.275989532470703</v>
      </c>
      <c r="D48">
        <f t="shared" si="0"/>
        <v>4.2759895324707031</v>
      </c>
      <c r="E48">
        <f t="shared" si="1"/>
        <v>3.4257698059082102</v>
      </c>
      <c r="F48" s="2">
        <v>1</v>
      </c>
      <c r="G48" s="2">
        <v>3</v>
      </c>
      <c r="H48">
        <v>204</v>
      </c>
    </row>
    <row r="49" spans="1:8" x14ac:dyDescent="0.25">
      <c r="A49" t="s">
        <v>50</v>
      </c>
      <c r="B49">
        <v>31</v>
      </c>
      <c r="C49">
        <v>38.701759338378913</v>
      </c>
      <c r="D49">
        <f t="shared" si="0"/>
        <v>7.7017593383789134</v>
      </c>
      <c r="E49" t="str">
        <f t="shared" si="1"/>
        <v/>
      </c>
      <c r="F49" s="2">
        <v>1</v>
      </c>
      <c r="G49" s="2">
        <v>3</v>
      </c>
      <c r="H49">
        <v>204</v>
      </c>
    </row>
    <row r="50" spans="1:8" x14ac:dyDescent="0.25">
      <c r="A50" t="s">
        <v>51</v>
      </c>
      <c r="B50">
        <v>31</v>
      </c>
      <c r="C50">
        <v>33.726325988769531</v>
      </c>
      <c r="D50">
        <f t="shared" si="0"/>
        <v>2.7263259887695313</v>
      </c>
      <c r="E50">
        <f t="shared" si="1"/>
        <v>3.0111541748046911</v>
      </c>
      <c r="F50" s="2">
        <v>1</v>
      </c>
      <c r="G50" s="2">
        <v>3</v>
      </c>
      <c r="H50">
        <v>205</v>
      </c>
    </row>
    <row r="51" spans="1:8" x14ac:dyDescent="0.25">
      <c r="A51" t="s">
        <v>52</v>
      </c>
      <c r="B51">
        <v>31</v>
      </c>
      <c r="C51">
        <v>30.71517181396484</v>
      </c>
      <c r="D51">
        <f t="shared" si="0"/>
        <v>0.2848281860351598</v>
      </c>
      <c r="E51" t="str">
        <f t="shared" si="1"/>
        <v/>
      </c>
      <c r="F51" s="2">
        <v>1</v>
      </c>
      <c r="G51" s="2">
        <v>3</v>
      </c>
      <c r="H51">
        <v>205</v>
      </c>
    </row>
    <row r="52" spans="1:8" x14ac:dyDescent="0.25">
      <c r="A52" t="s">
        <v>53</v>
      </c>
      <c r="B52">
        <v>31</v>
      </c>
      <c r="C52">
        <v>34.033927917480469</v>
      </c>
      <c r="D52">
        <f t="shared" si="0"/>
        <v>3.0339279174804688</v>
      </c>
      <c r="E52">
        <f t="shared" si="1"/>
        <v>2.5582466125488281</v>
      </c>
      <c r="F52" s="2">
        <v>1</v>
      </c>
      <c r="G52" s="2">
        <v>3</v>
      </c>
      <c r="H52">
        <v>206</v>
      </c>
    </row>
    <row r="53" spans="1:8" x14ac:dyDescent="0.25">
      <c r="A53" t="s">
        <v>54</v>
      </c>
      <c r="B53">
        <v>31</v>
      </c>
      <c r="C53">
        <v>36.592174530029297</v>
      </c>
      <c r="D53">
        <f t="shared" si="0"/>
        <v>5.5921745300292969</v>
      </c>
      <c r="E53" t="str">
        <f t="shared" si="1"/>
        <v/>
      </c>
      <c r="F53" s="2">
        <v>1</v>
      </c>
      <c r="G53" s="2">
        <v>3</v>
      </c>
      <c r="H53">
        <v>206</v>
      </c>
    </row>
    <row r="54" spans="1:8" x14ac:dyDescent="0.25">
      <c r="A54" t="s">
        <v>55</v>
      </c>
      <c r="B54">
        <v>31</v>
      </c>
      <c r="C54">
        <v>32.384120941162109</v>
      </c>
      <c r="D54">
        <f t="shared" si="0"/>
        <v>1.3841209411621094</v>
      </c>
      <c r="E54">
        <f t="shared" si="1"/>
        <v>7.9963722229003906</v>
      </c>
      <c r="F54" s="2">
        <v>1</v>
      </c>
      <c r="G54" s="2">
        <v>3</v>
      </c>
      <c r="H54">
        <v>207</v>
      </c>
    </row>
    <row r="55" spans="1:8" x14ac:dyDescent="0.25">
      <c r="A55" t="s">
        <v>56</v>
      </c>
      <c r="B55">
        <v>31</v>
      </c>
      <c r="C55">
        <v>40.3804931640625</v>
      </c>
      <c r="D55">
        <f t="shared" si="0"/>
        <v>9.3804931640625</v>
      </c>
      <c r="E55" t="str">
        <f t="shared" si="1"/>
        <v/>
      </c>
      <c r="F55" s="2">
        <v>1</v>
      </c>
      <c r="G55" s="2">
        <v>3</v>
      </c>
      <c r="H55">
        <v>207</v>
      </c>
    </row>
    <row r="56" spans="1:8" x14ac:dyDescent="0.25">
      <c r="A56" t="s">
        <v>57</v>
      </c>
      <c r="B56">
        <v>31</v>
      </c>
      <c r="C56">
        <v>40.764175415039063</v>
      </c>
      <c r="D56">
        <f t="shared" si="0"/>
        <v>9.7641754150390625</v>
      </c>
      <c r="E56">
        <f t="shared" si="1"/>
        <v>3.1175880432128906</v>
      </c>
      <c r="F56" s="2">
        <v>1</v>
      </c>
      <c r="G56" s="2">
        <v>3</v>
      </c>
      <c r="H56">
        <v>208</v>
      </c>
    </row>
    <row r="57" spans="1:8" x14ac:dyDescent="0.25">
      <c r="A57" t="s">
        <v>58</v>
      </c>
      <c r="B57">
        <v>31</v>
      </c>
      <c r="C57">
        <v>37.646587371826172</v>
      </c>
      <c r="D57">
        <f t="shared" si="0"/>
        <v>6.6465873718261719</v>
      </c>
      <c r="E57" t="str">
        <f t="shared" si="1"/>
        <v/>
      </c>
      <c r="F57" s="2">
        <v>1</v>
      </c>
      <c r="G57" s="2">
        <v>3</v>
      </c>
      <c r="H57">
        <v>208</v>
      </c>
    </row>
    <row r="58" spans="1:8" x14ac:dyDescent="0.25">
      <c r="A58" t="s">
        <v>59</v>
      </c>
      <c r="B58">
        <v>31</v>
      </c>
      <c r="C58">
        <v>34.068470001220703</v>
      </c>
      <c r="D58">
        <f t="shared" si="0"/>
        <v>3.0684700012207031</v>
      </c>
      <c r="E58">
        <f t="shared" si="1"/>
        <v>3.9317722320556641</v>
      </c>
      <c r="F58" s="2">
        <v>1</v>
      </c>
      <c r="G58" s="2">
        <v>3</v>
      </c>
      <c r="H58">
        <v>209</v>
      </c>
    </row>
    <row r="59" spans="1:8" x14ac:dyDescent="0.25">
      <c r="A59" t="s">
        <v>60</v>
      </c>
      <c r="B59">
        <v>31</v>
      </c>
      <c r="C59">
        <v>30.136697769165039</v>
      </c>
      <c r="D59">
        <f t="shared" si="0"/>
        <v>0.86330223083496094</v>
      </c>
      <c r="E59" t="str">
        <f t="shared" si="1"/>
        <v/>
      </c>
      <c r="F59" s="2">
        <v>1</v>
      </c>
      <c r="G59" s="2">
        <v>3</v>
      </c>
      <c r="H59">
        <v>209</v>
      </c>
    </row>
    <row r="60" spans="1:8" x14ac:dyDescent="0.25">
      <c r="A60" t="s">
        <v>61</v>
      </c>
      <c r="B60">
        <v>31</v>
      </c>
      <c r="C60">
        <v>33.842609405517578</v>
      </c>
      <c r="D60">
        <f t="shared" si="0"/>
        <v>2.8426094055175781</v>
      </c>
      <c r="E60">
        <f t="shared" si="1"/>
        <v>3.4252700805663991</v>
      </c>
      <c r="F60" s="2">
        <v>1</v>
      </c>
      <c r="G60" s="2">
        <v>3</v>
      </c>
      <c r="H60">
        <v>210</v>
      </c>
    </row>
    <row r="61" spans="1:8" x14ac:dyDescent="0.25">
      <c r="A61" t="s">
        <v>62</v>
      </c>
      <c r="B61">
        <v>31</v>
      </c>
      <c r="C61">
        <v>37.267879486083977</v>
      </c>
      <c r="D61">
        <f t="shared" si="0"/>
        <v>6.2678794860839773</v>
      </c>
      <c r="E61" t="str">
        <f t="shared" si="1"/>
        <v/>
      </c>
      <c r="F61" s="2">
        <v>1</v>
      </c>
      <c r="G61" s="2">
        <v>3</v>
      </c>
      <c r="H61">
        <v>210</v>
      </c>
    </row>
    <row r="62" spans="1:8" x14ac:dyDescent="0.25">
      <c r="A62" t="s">
        <v>63</v>
      </c>
      <c r="B62">
        <v>31</v>
      </c>
      <c r="C62">
        <v>33.701816558837891</v>
      </c>
      <c r="D62">
        <f t="shared" si="0"/>
        <v>2.7018165588378906</v>
      </c>
      <c r="E62">
        <f t="shared" si="1"/>
        <v>8.197402954102273E-2</v>
      </c>
      <c r="F62" s="2">
        <v>1</v>
      </c>
      <c r="G62" s="2">
        <v>3</v>
      </c>
      <c r="H62">
        <v>211</v>
      </c>
    </row>
    <row r="63" spans="1:8" x14ac:dyDescent="0.25">
      <c r="A63" t="s">
        <v>64</v>
      </c>
      <c r="B63">
        <v>31</v>
      </c>
      <c r="C63">
        <v>33.783790588378913</v>
      </c>
      <c r="D63">
        <f t="shared" si="0"/>
        <v>2.7837905883789134</v>
      </c>
      <c r="E63" t="str">
        <f t="shared" si="1"/>
        <v/>
      </c>
      <c r="F63" s="2">
        <v>1</v>
      </c>
      <c r="G63" s="2">
        <v>3</v>
      </c>
      <c r="H63">
        <v>211</v>
      </c>
    </row>
    <row r="64" spans="1:8" x14ac:dyDescent="0.25">
      <c r="A64" t="s">
        <v>65</v>
      </c>
      <c r="B64">
        <v>31</v>
      </c>
      <c r="C64">
        <v>29.461282730102539</v>
      </c>
      <c r="D64">
        <f t="shared" si="0"/>
        <v>1.5387172698974609</v>
      </c>
      <c r="E64">
        <f t="shared" si="1"/>
        <v>5.1637363433837891</v>
      </c>
      <c r="F64" s="2">
        <v>1</v>
      </c>
      <c r="G64" s="2">
        <v>3</v>
      </c>
      <c r="H64">
        <v>212</v>
      </c>
    </row>
    <row r="65" spans="1:8" x14ac:dyDescent="0.25">
      <c r="A65" t="s">
        <v>66</v>
      </c>
      <c r="B65">
        <v>31</v>
      </c>
      <c r="C65">
        <v>34.625019073486328</v>
      </c>
      <c r="D65">
        <f t="shared" si="0"/>
        <v>3.6250190734863281</v>
      </c>
      <c r="E65" t="str">
        <f t="shared" si="1"/>
        <v/>
      </c>
      <c r="F65" s="2">
        <v>1</v>
      </c>
      <c r="G65" s="2">
        <v>3</v>
      </c>
      <c r="H65">
        <v>212</v>
      </c>
    </row>
    <row r="66" spans="1:8" x14ac:dyDescent="0.25">
      <c r="A66" t="s">
        <v>67</v>
      </c>
      <c r="B66">
        <v>31</v>
      </c>
      <c r="C66">
        <v>32.393016815185547</v>
      </c>
      <c r="D66">
        <f t="shared" si="0"/>
        <v>1.3930168151855469</v>
      </c>
      <c r="E66">
        <f t="shared" si="1"/>
        <v>3.3847846984863352</v>
      </c>
      <c r="F66" s="2">
        <v>1</v>
      </c>
      <c r="G66" s="2">
        <v>3</v>
      </c>
      <c r="H66">
        <v>213</v>
      </c>
    </row>
    <row r="67" spans="1:8" x14ac:dyDescent="0.25">
      <c r="A67" t="s">
        <v>68</v>
      </c>
      <c r="B67">
        <v>31</v>
      </c>
      <c r="C67">
        <v>35.777801513671882</v>
      </c>
      <c r="D67">
        <f t="shared" ref="D67:D121" si="2">ABS(C67-B67)</f>
        <v>4.7778015136718821</v>
      </c>
      <c r="E67" t="str">
        <f t="shared" ref="E67:E121" si="3">IF(MOD(ROW(),2)=0,ABS(C67-C68),"")</f>
        <v/>
      </c>
      <c r="F67" s="2">
        <v>1</v>
      </c>
      <c r="G67" s="2">
        <v>3</v>
      </c>
      <c r="H67">
        <v>213</v>
      </c>
    </row>
    <row r="68" spans="1:8" x14ac:dyDescent="0.25">
      <c r="A68" t="s">
        <v>69</v>
      </c>
      <c r="B68">
        <v>31</v>
      </c>
      <c r="C68">
        <v>32.590961456298828</v>
      </c>
      <c r="D68">
        <f t="shared" si="2"/>
        <v>1.5909614562988281</v>
      </c>
      <c r="E68">
        <f t="shared" si="3"/>
        <v>1.4186439514160085</v>
      </c>
      <c r="F68" s="2">
        <v>1</v>
      </c>
      <c r="G68" s="2">
        <v>3</v>
      </c>
      <c r="H68">
        <v>214</v>
      </c>
    </row>
    <row r="69" spans="1:8" x14ac:dyDescent="0.25">
      <c r="A69" t="s">
        <v>70</v>
      </c>
      <c r="B69">
        <v>31</v>
      </c>
      <c r="C69">
        <v>34.009605407714837</v>
      </c>
      <c r="D69">
        <f t="shared" si="2"/>
        <v>3.0096054077148366</v>
      </c>
      <c r="E69" t="str">
        <f t="shared" si="3"/>
        <v/>
      </c>
      <c r="F69" s="2">
        <v>1</v>
      </c>
      <c r="G69" s="2">
        <v>3</v>
      </c>
      <c r="H69">
        <v>214</v>
      </c>
    </row>
    <row r="70" spans="1:8" x14ac:dyDescent="0.25">
      <c r="A70" t="s">
        <v>71</v>
      </c>
      <c r="B70">
        <v>31</v>
      </c>
      <c r="C70">
        <v>40.938266754150391</v>
      </c>
      <c r="D70">
        <f t="shared" si="2"/>
        <v>9.9382667541503906</v>
      </c>
      <c r="E70">
        <f t="shared" si="3"/>
        <v>6.96026611328125</v>
      </c>
      <c r="F70" s="2">
        <v>1</v>
      </c>
      <c r="G70" s="2">
        <v>3</v>
      </c>
      <c r="H70">
        <v>215</v>
      </c>
    </row>
    <row r="71" spans="1:8" x14ac:dyDescent="0.25">
      <c r="A71" t="s">
        <v>72</v>
      </c>
      <c r="B71">
        <v>31</v>
      </c>
      <c r="C71">
        <v>33.978000640869141</v>
      </c>
      <c r="D71">
        <f t="shared" si="2"/>
        <v>2.9780006408691406</v>
      </c>
      <c r="E71" t="str">
        <f t="shared" si="3"/>
        <v/>
      </c>
      <c r="F71" s="2">
        <v>1</v>
      </c>
      <c r="G71" s="2">
        <v>3</v>
      </c>
      <c r="H71">
        <v>215</v>
      </c>
    </row>
    <row r="72" spans="1:8" x14ac:dyDescent="0.25">
      <c r="A72" t="s">
        <v>73</v>
      </c>
      <c r="B72">
        <v>31</v>
      </c>
      <c r="C72">
        <v>36.845241546630859</v>
      </c>
      <c r="D72">
        <f t="shared" si="2"/>
        <v>5.8452415466308594</v>
      </c>
      <c r="E72">
        <f t="shared" si="3"/>
        <v>1.9251213073730469</v>
      </c>
      <c r="F72" s="2">
        <v>1</v>
      </c>
      <c r="G72" s="2">
        <v>3</v>
      </c>
      <c r="H72">
        <v>216</v>
      </c>
    </row>
    <row r="73" spans="1:8" x14ac:dyDescent="0.25">
      <c r="A73" t="s">
        <v>74</v>
      </c>
      <c r="B73">
        <v>31</v>
      </c>
      <c r="C73">
        <v>34.920120239257813</v>
      </c>
      <c r="D73">
        <f t="shared" si="2"/>
        <v>3.9201202392578125</v>
      </c>
      <c r="E73" t="str">
        <f t="shared" si="3"/>
        <v/>
      </c>
      <c r="F73" s="2">
        <v>1</v>
      </c>
      <c r="G73" s="2">
        <v>3</v>
      </c>
      <c r="H73">
        <v>216</v>
      </c>
    </row>
    <row r="74" spans="1:8" x14ac:dyDescent="0.25">
      <c r="A74" t="s">
        <v>75</v>
      </c>
      <c r="B74">
        <v>31</v>
      </c>
      <c r="C74">
        <v>37.10479736328125</v>
      </c>
      <c r="D74">
        <f t="shared" si="2"/>
        <v>6.10479736328125</v>
      </c>
      <c r="E74">
        <f t="shared" si="3"/>
        <v>3.0525741577148366</v>
      </c>
      <c r="F74" s="2">
        <v>1</v>
      </c>
      <c r="G74" s="2">
        <v>3</v>
      </c>
      <c r="H74">
        <v>217</v>
      </c>
    </row>
    <row r="75" spans="1:8" x14ac:dyDescent="0.25">
      <c r="A75" t="s">
        <v>76</v>
      </c>
      <c r="B75">
        <v>31</v>
      </c>
      <c r="C75">
        <v>34.052223205566413</v>
      </c>
      <c r="D75">
        <f t="shared" si="2"/>
        <v>3.0522232055664134</v>
      </c>
      <c r="E75" t="str">
        <f t="shared" si="3"/>
        <v/>
      </c>
      <c r="F75" s="2">
        <v>1</v>
      </c>
      <c r="G75" s="2">
        <v>3</v>
      </c>
      <c r="H75">
        <v>217</v>
      </c>
    </row>
    <row r="76" spans="1:8" x14ac:dyDescent="0.25">
      <c r="A76" t="s">
        <v>77</v>
      </c>
      <c r="B76">
        <v>31</v>
      </c>
      <c r="C76">
        <v>35.393104553222663</v>
      </c>
      <c r="D76">
        <f t="shared" si="2"/>
        <v>4.3931045532226634</v>
      </c>
      <c r="E76">
        <f t="shared" si="3"/>
        <v>1.628528594970696</v>
      </c>
      <c r="F76" s="2">
        <v>1</v>
      </c>
      <c r="G76" s="2">
        <v>3</v>
      </c>
      <c r="H76">
        <v>218</v>
      </c>
    </row>
    <row r="77" spans="1:8" x14ac:dyDescent="0.25">
      <c r="A77" t="s">
        <v>78</v>
      </c>
      <c r="B77">
        <v>31</v>
      </c>
      <c r="C77">
        <v>37.021633148193359</v>
      </c>
      <c r="D77">
        <f t="shared" si="2"/>
        <v>6.0216331481933594</v>
      </c>
      <c r="E77" t="str">
        <f t="shared" si="3"/>
        <v/>
      </c>
      <c r="F77" s="2">
        <v>1</v>
      </c>
      <c r="G77" s="2">
        <v>3</v>
      </c>
      <c r="H77">
        <v>218</v>
      </c>
    </row>
    <row r="78" spans="1:8" x14ac:dyDescent="0.25">
      <c r="A78" t="s">
        <v>79</v>
      </c>
      <c r="B78">
        <v>31</v>
      </c>
      <c r="C78">
        <v>34.631343841552727</v>
      </c>
      <c r="D78">
        <f t="shared" si="2"/>
        <v>3.6313438415527273</v>
      </c>
      <c r="E78">
        <f t="shared" si="3"/>
        <v>1.5129699707031321</v>
      </c>
      <c r="F78" s="2">
        <v>1</v>
      </c>
      <c r="G78" s="2">
        <v>3</v>
      </c>
      <c r="H78">
        <v>219</v>
      </c>
    </row>
    <row r="79" spans="1:8" x14ac:dyDescent="0.25">
      <c r="A79" t="s">
        <v>80</v>
      </c>
      <c r="B79">
        <v>31</v>
      </c>
      <c r="C79">
        <v>36.144313812255859</v>
      </c>
      <c r="D79">
        <f t="shared" si="2"/>
        <v>5.1443138122558594</v>
      </c>
      <c r="E79" t="str">
        <f t="shared" si="3"/>
        <v/>
      </c>
      <c r="F79" s="2">
        <v>1</v>
      </c>
      <c r="G79" s="2">
        <v>3</v>
      </c>
      <c r="H79">
        <v>219</v>
      </c>
    </row>
    <row r="80" spans="1:8" x14ac:dyDescent="0.25">
      <c r="A80" t="s">
        <v>81</v>
      </c>
      <c r="B80">
        <v>31</v>
      </c>
      <c r="C80">
        <v>36.598423004150391</v>
      </c>
      <c r="D80">
        <f t="shared" si="2"/>
        <v>5.5984230041503906</v>
      </c>
      <c r="E80">
        <f t="shared" si="3"/>
        <v>0.33374786376953125</v>
      </c>
      <c r="F80" s="2">
        <v>1</v>
      </c>
      <c r="G80" s="2">
        <v>3</v>
      </c>
      <c r="H80">
        <v>220</v>
      </c>
    </row>
    <row r="81" spans="1:8" x14ac:dyDescent="0.25">
      <c r="A81" t="s">
        <v>82</v>
      </c>
      <c r="B81">
        <v>31</v>
      </c>
      <c r="C81">
        <v>36.264675140380859</v>
      </c>
      <c r="D81">
        <f t="shared" si="2"/>
        <v>5.2646751403808594</v>
      </c>
      <c r="E81" t="str">
        <f t="shared" si="3"/>
        <v/>
      </c>
      <c r="F81" s="2">
        <v>1</v>
      </c>
      <c r="G81" s="2">
        <v>3</v>
      </c>
      <c r="H81">
        <v>220</v>
      </c>
    </row>
    <row r="82" spans="1:8" x14ac:dyDescent="0.25">
      <c r="A82" t="s">
        <v>83</v>
      </c>
      <c r="B82">
        <v>30</v>
      </c>
      <c r="C82">
        <v>38.005180358886719</v>
      </c>
      <c r="D82">
        <f t="shared" si="2"/>
        <v>8.0051803588867188</v>
      </c>
      <c r="E82">
        <f t="shared" si="3"/>
        <v>0.91117858886719461</v>
      </c>
      <c r="F82" s="2">
        <v>2</v>
      </c>
      <c r="G82" s="2">
        <v>3</v>
      </c>
      <c r="H82">
        <v>301</v>
      </c>
    </row>
    <row r="83" spans="1:8" x14ac:dyDescent="0.25">
      <c r="A83" t="s">
        <v>84</v>
      </c>
      <c r="B83">
        <v>30</v>
      </c>
      <c r="C83">
        <v>38.916358947753913</v>
      </c>
      <c r="D83">
        <f t="shared" si="2"/>
        <v>8.9163589477539134</v>
      </c>
      <c r="E83" t="str">
        <f t="shared" si="3"/>
        <v/>
      </c>
      <c r="F83" s="2">
        <v>2</v>
      </c>
      <c r="G83" s="2">
        <v>3</v>
      </c>
      <c r="H83">
        <v>301</v>
      </c>
    </row>
    <row r="84" spans="1:8" x14ac:dyDescent="0.25">
      <c r="A84" t="s">
        <v>85</v>
      </c>
      <c r="B84">
        <v>30</v>
      </c>
      <c r="C84">
        <v>39.910446166992188</v>
      </c>
      <c r="D84">
        <f t="shared" si="2"/>
        <v>9.9104461669921875</v>
      </c>
      <c r="E84">
        <f t="shared" si="3"/>
        <v>1.6100387573242188</v>
      </c>
      <c r="F84" s="2">
        <v>2</v>
      </c>
      <c r="G84" s="2">
        <v>3</v>
      </c>
      <c r="H84">
        <v>302</v>
      </c>
    </row>
    <row r="85" spans="1:8" x14ac:dyDescent="0.25">
      <c r="A85" t="s">
        <v>86</v>
      </c>
      <c r="B85">
        <v>30</v>
      </c>
      <c r="C85">
        <v>38.300407409667969</v>
      </c>
      <c r="D85">
        <f t="shared" si="2"/>
        <v>8.3004074096679688</v>
      </c>
      <c r="E85" t="str">
        <f t="shared" si="3"/>
        <v/>
      </c>
      <c r="F85" s="2">
        <v>2</v>
      </c>
      <c r="G85" s="2">
        <v>3</v>
      </c>
      <c r="H85">
        <v>302</v>
      </c>
    </row>
    <row r="86" spans="1:8" x14ac:dyDescent="0.25">
      <c r="A86" t="s">
        <v>87</v>
      </c>
      <c r="B86">
        <v>30</v>
      </c>
      <c r="C86">
        <v>40.249641418457031</v>
      </c>
      <c r="D86">
        <f t="shared" si="2"/>
        <v>10.249641418457031</v>
      </c>
      <c r="E86">
        <f t="shared" si="3"/>
        <v>1.0420455932617188</v>
      </c>
      <c r="F86" s="2">
        <v>2</v>
      </c>
      <c r="G86" s="2">
        <v>3</v>
      </c>
      <c r="H86">
        <v>303</v>
      </c>
    </row>
    <row r="87" spans="1:8" x14ac:dyDescent="0.25">
      <c r="A87" t="s">
        <v>88</v>
      </c>
      <c r="B87">
        <v>30</v>
      </c>
      <c r="C87">
        <v>39.207595825195313</v>
      </c>
      <c r="D87">
        <f t="shared" si="2"/>
        <v>9.2075958251953125</v>
      </c>
      <c r="E87" t="str">
        <f t="shared" si="3"/>
        <v/>
      </c>
      <c r="F87" s="2">
        <v>2</v>
      </c>
      <c r="G87" s="2">
        <v>3</v>
      </c>
      <c r="H87">
        <v>303</v>
      </c>
    </row>
    <row r="88" spans="1:8" x14ac:dyDescent="0.25">
      <c r="A88" t="s">
        <v>89</v>
      </c>
      <c r="B88">
        <v>30</v>
      </c>
      <c r="C88">
        <v>38.326133728027337</v>
      </c>
      <c r="D88">
        <f t="shared" si="2"/>
        <v>8.3261337280273366</v>
      </c>
      <c r="E88">
        <f t="shared" si="3"/>
        <v>1.443981170654304</v>
      </c>
      <c r="F88" s="2">
        <v>2</v>
      </c>
      <c r="G88" s="2">
        <v>3</v>
      </c>
      <c r="H88">
        <v>304</v>
      </c>
    </row>
    <row r="89" spans="1:8" x14ac:dyDescent="0.25">
      <c r="A89" t="s">
        <v>90</v>
      </c>
      <c r="B89">
        <v>30</v>
      </c>
      <c r="C89">
        <v>39.770114898681641</v>
      </c>
      <c r="D89">
        <f t="shared" si="2"/>
        <v>9.7701148986816406</v>
      </c>
      <c r="E89" t="str">
        <f t="shared" si="3"/>
        <v/>
      </c>
      <c r="F89" s="2">
        <v>2</v>
      </c>
      <c r="G89" s="2">
        <v>3</v>
      </c>
      <c r="H89">
        <v>304</v>
      </c>
    </row>
    <row r="90" spans="1:8" x14ac:dyDescent="0.25">
      <c r="A90" t="s">
        <v>91</v>
      </c>
      <c r="B90">
        <v>30</v>
      </c>
      <c r="C90">
        <v>38.965217590332031</v>
      </c>
      <c r="D90">
        <f t="shared" si="2"/>
        <v>8.9652175903320313</v>
      </c>
      <c r="E90">
        <f t="shared" si="3"/>
        <v>0.4983062744140625</v>
      </c>
      <c r="F90" s="2">
        <v>2</v>
      </c>
      <c r="G90" s="2">
        <v>3</v>
      </c>
      <c r="H90">
        <v>305</v>
      </c>
    </row>
    <row r="91" spans="1:8" x14ac:dyDescent="0.25">
      <c r="A91" t="s">
        <v>92</v>
      </c>
      <c r="B91">
        <v>30</v>
      </c>
      <c r="C91">
        <v>38.466911315917969</v>
      </c>
      <c r="D91">
        <f t="shared" si="2"/>
        <v>8.4669113159179688</v>
      </c>
      <c r="E91" t="str">
        <f t="shared" si="3"/>
        <v/>
      </c>
      <c r="F91" s="2">
        <v>2</v>
      </c>
      <c r="G91" s="2">
        <v>3</v>
      </c>
      <c r="H91">
        <v>305</v>
      </c>
    </row>
    <row r="92" spans="1:8" x14ac:dyDescent="0.25">
      <c r="A92" t="s">
        <v>93</v>
      </c>
      <c r="B92">
        <v>30</v>
      </c>
      <c r="C92">
        <v>37.237716674804688</v>
      </c>
      <c r="D92">
        <f t="shared" si="2"/>
        <v>7.2377166748046875</v>
      </c>
      <c r="E92">
        <f t="shared" si="3"/>
        <v>2.569183349609375</v>
      </c>
      <c r="F92" s="2">
        <v>2</v>
      </c>
      <c r="G92" s="2">
        <v>3</v>
      </c>
      <c r="H92">
        <v>306</v>
      </c>
    </row>
    <row r="93" spans="1:8" x14ac:dyDescent="0.25">
      <c r="A93" t="s">
        <v>94</v>
      </c>
      <c r="B93">
        <v>30</v>
      </c>
      <c r="C93">
        <v>39.806900024414063</v>
      </c>
      <c r="D93">
        <f t="shared" si="2"/>
        <v>9.8069000244140625</v>
      </c>
      <c r="E93" t="str">
        <f t="shared" si="3"/>
        <v/>
      </c>
      <c r="F93" s="2">
        <v>2</v>
      </c>
      <c r="G93" s="2">
        <v>3</v>
      </c>
      <c r="H93">
        <v>306</v>
      </c>
    </row>
    <row r="94" spans="1:8" x14ac:dyDescent="0.25">
      <c r="A94" t="s">
        <v>95</v>
      </c>
      <c r="B94">
        <v>30</v>
      </c>
      <c r="C94">
        <v>37.94635009765625</v>
      </c>
      <c r="D94">
        <f t="shared" si="2"/>
        <v>7.94635009765625</v>
      </c>
      <c r="E94">
        <f t="shared" si="3"/>
        <v>1.3547668457031321</v>
      </c>
      <c r="F94" s="2">
        <v>2</v>
      </c>
      <c r="G94" s="2">
        <v>3</v>
      </c>
      <c r="H94">
        <v>307</v>
      </c>
    </row>
    <row r="95" spans="1:8" x14ac:dyDescent="0.25">
      <c r="A95" t="s">
        <v>96</v>
      </c>
      <c r="B95">
        <v>30</v>
      </c>
      <c r="C95">
        <v>39.301116943359382</v>
      </c>
      <c r="D95">
        <f t="shared" si="2"/>
        <v>9.3011169433593821</v>
      </c>
      <c r="E95" t="str">
        <f t="shared" si="3"/>
        <v/>
      </c>
      <c r="F95" s="2">
        <v>2</v>
      </c>
      <c r="G95" s="2">
        <v>3</v>
      </c>
      <c r="H95">
        <v>307</v>
      </c>
    </row>
    <row r="96" spans="1:8" x14ac:dyDescent="0.25">
      <c r="A96" t="s">
        <v>97</v>
      </c>
      <c r="B96">
        <v>30</v>
      </c>
      <c r="C96">
        <v>39.969306945800781</v>
      </c>
      <c r="D96">
        <f t="shared" si="2"/>
        <v>9.9693069458007813</v>
      </c>
      <c r="E96">
        <f t="shared" si="3"/>
        <v>1.9852600097656179</v>
      </c>
      <c r="F96" s="2">
        <v>2</v>
      </c>
      <c r="G96" s="2">
        <v>3</v>
      </c>
      <c r="H96">
        <v>308</v>
      </c>
    </row>
    <row r="97" spans="1:8" x14ac:dyDescent="0.25">
      <c r="A97" t="s">
        <v>98</v>
      </c>
      <c r="B97">
        <v>30</v>
      </c>
      <c r="C97">
        <v>37.984046936035163</v>
      </c>
      <c r="D97">
        <f t="shared" si="2"/>
        <v>7.9840469360351634</v>
      </c>
      <c r="E97" t="str">
        <f t="shared" si="3"/>
        <v/>
      </c>
      <c r="F97" s="2">
        <v>2</v>
      </c>
      <c r="G97" s="2">
        <v>3</v>
      </c>
      <c r="H97">
        <v>308</v>
      </c>
    </row>
    <row r="98" spans="1:8" x14ac:dyDescent="0.25">
      <c r="A98" t="s">
        <v>99</v>
      </c>
      <c r="B98">
        <v>30</v>
      </c>
      <c r="C98">
        <v>37.123687744140618</v>
      </c>
      <c r="D98">
        <f t="shared" si="2"/>
        <v>7.1236877441406179</v>
      </c>
      <c r="E98">
        <f t="shared" si="3"/>
        <v>1.0059890747070455</v>
      </c>
      <c r="F98" s="2">
        <v>2</v>
      </c>
      <c r="G98" s="2">
        <v>3</v>
      </c>
      <c r="H98">
        <v>309</v>
      </c>
    </row>
    <row r="99" spans="1:8" x14ac:dyDescent="0.25">
      <c r="A99" t="s">
        <v>100</v>
      </c>
      <c r="B99">
        <v>30</v>
      </c>
      <c r="C99">
        <v>38.129676818847663</v>
      </c>
      <c r="D99">
        <f t="shared" si="2"/>
        <v>8.1296768188476634</v>
      </c>
      <c r="E99" t="str">
        <f t="shared" si="3"/>
        <v/>
      </c>
      <c r="F99" s="2">
        <v>2</v>
      </c>
      <c r="G99" s="2">
        <v>3</v>
      </c>
      <c r="H99">
        <v>309</v>
      </c>
    </row>
    <row r="100" spans="1:8" x14ac:dyDescent="0.25">
      <c r="A100" t="s">
        <v>101</v>
      </c>
      <c r="B100">
        <v>30</v>
      </c>
      <c r="C100">
        <v>38.254638671875</v>
      </c>
      <c r="D100">
        <f t="shared" si="2"/>
        <v>8.254638671875</v>
      </c>
      <c r="E100">
        <f t="shared" si="3"/>
        <v>3.7666091918945313</v>
      </c>
      <c r="F100" s="2">
        <v>2</v>
      </c>
      <c r="G100" s="2">
        <v>3</v>
      </c>
      <c r="H100">
        <v>310</v>
      </c>
    </row>
    <row r="101" spans="1:8" x14ac:dyDescent="0.25">
      <c r="A101" t="s">
        <v>102</v>
      </c>
      <c r="B101">
        <v>30</v>
      </c>
      <c r="C101">
        <v>34.488029479980469</v>
      </c>
      <c r="D101">
        <f t="shared" si="2"/>
        <v>4.4880294799804688</v>
      </c>
      <c r="E101" t="str">
        <f t="shared" si="3"/>
        <v/>
      </c>
      <c r="F101" s="2">
        <v>2</v>
      </c>
      <c r="G101" s="2">
        <v>3</v>
      </c>
      <c r="H101">
        <v>310</v>
      </c>
    </row>
    <row r="102" spans="1:8" x14ac:dyDescent="0.25">
      <c r="A102" t="s">
        <v>103</v>
      </c>
      <c r="B102">
        <v>30</v>
      </c>
      <c r="C102">
        <v>32.035621643066413</v>
      </c>
      <c r="D102">
        <f t="shared" si="2"/>
        <v>2.0356216430664134</v>
      </c>
      <c r="E102">
        <f t="shared" si="3"/>
        <v>4.8580856323242045</v>
      </c>
      <c r="F102" s="2">
        <v>2</v>
      </c>
      <c r="G102" s="2">
        <v>3</v>
      </c>
      <c r="H102">
        <v>311</v>
      </c>
    </row>
    <row r="103" spans="1:8" x14ac:dyDescent="0.25">
      <c r="A103" t="s">
        <v>104</v>
      </c>
      <c r="B103">
        <v>30</v>
      </c>
      <c r="C103">
        <v>36.893707275390618</v>
      </c>
      <c r="D103">
        <f t="shared" si="2"/>
        <v>6.8937072753906179</v>
      </c>
      <c r="E103" t="str">
        <f t="shared" si="3"/>
        <v/>
      </c>
      <c r="F103" s="2">
        <v>2</v>
      </c>
      <c r="G103" s="2">
        <v>3</v>
      </c>
      <c r="H103">
        <v>311</v>
      </c>
    </row>
    <row r="104" spans="1:8" x14ac:dyDescent="0.25">
      <c r="A104" t="s">
        <v>105</v>
      </c>
      <c r="B104">
        <v>30</v>
      </c>
      <c r="C104">
        <v>40.044647216796882</v>
      </c>
      <c r="D104">
        <f t="shared" si="2"/>
        <v>10.044647216796882</v>
      </c>
      <c r="E104">
        <f t="shared" si="3"/>
        <v>2.2109603881836009</v>
      </c>
      <c r="F104" s="2">
        <v>2</v>
      </c>
      <c r="G104" s="2">
        <v>3</v>
      </c>
      <c r="H104">
        <v>312</v>
      </c>
    </row>
    <row r="105" spans="1:8" x14ac:dyDescent="0.25">
      <c r="A105" t="s">
        <v>106</v>
      </c>
      <c r="B105">
        <v>30</v>
      </c>
      <c r="C105">
        <v>37.833686828613281</v>
      </c>
      <c r="D105">
        <f t="shared" si="2"/>
        <v>7.8336868286132813</v>
      </c>
      <c r="E105" t="str">
        <f t="shared" si="3"/>
        <v/>
      </c>
      <c r="F105" s="2">
        <v>2</v>
      </c>
      <c r="G105" s="2">
        <v>3</v>
      </c>
      <c r="H105">
        <v>312</v>
      </c>
    </row>
    <row r="106" spans="1:8" x14ac:dyDescent="0.25">
      <c r="A106" t="s">
        <v>107</v>
      </c>
      <c r="B106">
        <v>30</v>
      </c>
      <c r="C106">
        <v>31.74967002868652</v>
      </c>
      <c r="D106">
        <f t="shared" si="2"/>
        <v>1.7496700286865199</v>
      </c>
      <c r="E106">
        <f t="shared" si="3"/>
        <v>5.5758380889892614</v>
      </c>
      <c r="F106" s="2">
        <v>2</v>
      </c>
      <c r="G106" s="2">
        <v>3</v>
      </c>
      <c r="H106">
        <v>313</v>
      </c>
    </row>
    <row r="107" spans="1:8" x14ac:dyDescent="0.25">
      <c r="A107" t="s">
        <v>108</v>
      </c>
      <c r="B107">
        <v>30</v>
      </c>
      <c r="C107">
        <v>37.325508117675781</v>
      </c>
      <c r="D107">
        <f t="shared" si="2"/>
        <v>7.3255081176757813</v>
      </c>
      <c r="E107" t="str">
        <f t="shared" si="3"/>
        <v/>
      </c>
      <c r="F107" s="2">
        <v>2</v>
      </c>
      <c r="G107" s="2">
        <v>3</v>
      </c>
      <c r="H107">
        <v>313</v>
      </c>
    </row>
    <row r="108" spans="1:8" x14ac:dyDescent="0.25">
      <c r="A108" t="s">
        <v>109</v>
      </c>
      <c r="B108">
        <v>30</v>
      </c>
      <c r="C108">
        <v>41.641754150390618</v>
      </c>
      <c r="D108">
        <f t="shared" si="2"/>
        <v>11.641754150390618</v>
      </c>
      <c r="E108">
        <f t="shared" si="3"/>
        <v>1.5464477539062358</v>
      </c>
      <c r="F108" s="2">
        <v>2</v>
      </c>
      <c r="G108" s="2">
        <v>3</v>
      </c>
      <c r="H108">
        <v>314</v>
      </c>
    </row>
    <row r="109" spans="1:8" x14ac:dyDescent="0.25">
      <c r="A109" t="s">
        <v>110</v>
      </c>
      <c r="B109">
        <v>30</v>
      </c>
      <c r="C109">
        <v>40.095306396484382</v>
      </c>
      <c r="D109">
        <f t="shared" si="2"/>
        <v>10.095306396484382</v>
      </c>
      <c r="E109" t="str">
        <f t="shared" si="3"/>
        <v/>
      </c>
      <c r="F109" s="2">
        <v>2</v>
      </c>
      <c r="G109" s="2">
        <v>3</v>
      </c>
      <c r="H109">
        <v>314</v>
      </c>
    </row>
    <row r="110" spans="1:8" x14ac:dyDescent="0.25">
      <c r="A110" t="s">
        <v>111</v>
      </c>
      <c r="B110">
        <v>30</v>
      </c>
      <c r="C110">
        <v>40.586326599121087</v>
      </c>
      <c r="D110">
        <f t="shared" si="2"/>
        <v>10.586326599121087</v>
      </c>
      <c r="E110">
        <f t="shared" si="3"/>
        <v>6.0108222961425639</v>
      </c>
      <c r="F110" s="2">
        <v>2</v>
      </c>
      <c r="G110" s="2">
        <v>3</v>
      </c>
      <c r="H110">
        <v>315</v>
      </c>
    </row>
    <row r="111" spans="1:8" x14ac:dyDescent="0.25">
      <c r="A111" t="s">
        <v>112</v>
      </c>
      <c r="B111">
        <v>30</v>
      </c>
      <c r="C111">
        <v>34.575504302978523</v>
      </c>
      <c r="D111">
        <f t="shared" si="2"/>
        <v>4.5755043029785227</v>
      </c>
      <c r="E111" t="str">
        <f t="shared" si="3"/>
        <v/>
      </c>
      <c r="F111" s="2">
        <v>2</v>
      </c>
      <c r="G111" s="2">
        <v>3</v>
      </c>
      <c r="H111">
        <v>315</v>
      </c>
    </row>
    <row r="112" spans="1:8" x14ac:dyDescent="0.25">
      <c r="A112" t="s">
        <v>113</v>
      </c>
      <c r="B112">
        <v>30</v>
      </c>
      <c r="C112">
        <v>38.436264038085938</v>
      </c>
      <c r="D112">
        <f t="shared" si="2"/>
        <v>8.4362640380859375</v>
      </c>
      <c r="E112">
        <f t="shared" si="3"/>
        <v>1.4479866027832031</v>
      </c>
      <c r="F112" s="2">
        <v>2</v>
      </c>
      <c r="G112" s="2">
        <v>3</v>
      </c>
      <c r="H112">
        <v>316</v>
      </c>
    </row>
    <row r="113" spans="1:8" x14ac:dyDescent="0.25">
      <c r="A113" t="s">
        <v>114</v>
      </c>
      <c r="B113">
        <v>30</v>
      </c>
      <c r="C113">
        <v>39.884250640869141</v>
      </c>
      <c r="D113">
        <f t="shared" si="2"/>
        <v>9.8842506408691406</v>
      </c>
      <c r="E113" t="str">
        <f t="shared" si="3"/>
        <v/>
      </c>
      <c r="F113" s="2">
        <v>2</v>
      </c>
      <c r="G113" s="2">
        <v>3</v>
      </c>
      <c r="H113">
        <v>316</v>
      </c>
    </row>
    <row r="114" spans="1:8" x14ac:dyDescent="0.25">
      <c r="A114" t="s">
        <v>115</v>
      </c>
      <c r="B114">
        <v>30</v>
      </c>
      <c r="C114">
        <v>36.896610260009773</v>
      </c>
      <c r="D114">
        <f t="shared" si="2"/>
        <v>6.8966102600097727</v>
      </c>
      <c r="E114">
        <f t="shared" si="3"/>
        <v>1.9013328552246094</v>
      </c>
      <c r="F114" s="2">
        <v>2</v>
      </c>
      <c r="G114" s="2">
        <v>3</v>
      </c>
      <c r="H114">
        <v>317</v>
      </c>
    </row>
    <row r="115" spans="1:8" x14ac:dyDescent="0.25">
      <c r="A115" t="s">
        <v>116</v>
      </c>
      <c r="B115">
        <v>30</v>
      </c>
      <c r="C115">
        <v>38.797943115234382</v>
      </c>
      <c r="D115">
        <f t="shared" si="2"/>
        <v>8.7979431152343821</v>
      </c>
      <c r="E115" t="str">
        <f t="shared" si="3"/>
        <v/>
      </c>
      <c r="F115" s="2">
        <v>2</v>
      </c>
      <c r="G115" s="2">
        <v>3</v>
      </c>
      <c r="H115">
        <v>317</v>
      </c>
    </row>
    <row r="116" spans="1:8" x14ac:dyDescent="0.25">
      <c r="A116" t="s">
        <v>117</v>
      </c>
      <c r="B116">
        <v>30</v>
      </c>
      <c r="C116">
        <v>38.824920654296882</v>
      </c>
      <c r="D116">
        <f t="shared" si="2"/>
        <v>8.8249206542968821</v>
      </c>
      <c r="E116">
        <f t="shared" si="3"/>
        <v>0.97319030761719461</v>
      </c>
      <c r="F116" s="2">
        <v>2</v>
      </c>
      <c r="G116" s="2">
        <v>3</v>
      </c>
      <c r="H116">
        <v>318</v>
      </c>
    </row>
    <row r="117" spans="1:8" x14ac:dyDescent="0.25">
      <c r="A117" t="s">
        <v>118</v>
      </c>
      <c r="B117">
        <v>30</v>
      </c>
      <c r="C117">
        <v>37.851730346679688</v>
      </c>
      <c r="D117">
        <f t="shared" si="2"/>
        <v>7.8517303466796875</v>
      </c>
      <c r="E117" t="str">
        <f t="shared" si="3"/>
        <v/>
      </c>
      <c r="F117" s="2">
        <v>2</v>
      </c>
      <c r="G117" s="2">
        <v>3</v>
      </c>
      <c r="H117">
        <v>318</v>
      </c>
    </row>
    <row r="118" spans="1:8" x14ac:dyDescent="0.25">
      <c r="A118" t="s">
        <v>119</v>
      </c>
      <c r="B118">
        <v>30</v>
      </c>
      <c r="C118">
        <v>34.136745452880859</v>
      </c>
      <c r="D118">
        <f t="shared" si="2"/>
        <v>4.1367454528808594</v>
      </c>
      <c r="E118">
        <f t="shared" si="3"/>
        <v>5.2219581604003906</v>
      </c>
      <c r="F118" s="2">
        <v>2</v>
      </c>
      <c r="G118" s="2">
        <v>3</v>
      </c>
      <c r="H118">
        <v>319</v>
      </c>
    </row>
    <row r="119" spans="1:8" x14ac:dyDescent="0.25">
      <c r="A119" t="s">
        <v>120</v>
      </c>
      <c r="B119">
        <v>30</v>
      </c>
      <c r="C119">
        <v>39.35870361328125</v>
      </c>
      <c r="D119">
        <f t="shared" si="2"/>
        <v>9.35870361328125</v>
      </c>
      <c r="E119" t="str">
        <f t="shared" si="3"/>
        <v/>
      </c>
      <c r="F119" s="2">
        <v>2</v>
      </c>
      <c r="G119" s="2">
        <v>3</v>
      </c>
      <c r="H119">
        <v>319</v>
      </c>
    </row>
    <row r="120" spans="1:8" x14ac:dyDescent="0.25">
      <c r="A120" t="s">
        <v>121</v>
      </c>
      <c r="B120">
        <v>30</v>
      </c>
      <c r="C120">
        <v>40.629543304443359</v>
      </c>
      <c r="D120">
        <f t="shared" si="2"/>
        <v>10.629543304443359</v>
      </c>
      <c r="E120">
        <f t="shared" si="3"/>
        <v>2.1218833923339773</v>
      </c>
      <c r="F120" s="2">
        <v>2</v>
      </c>
      <c r="G120" s="2">
        <v>3</v>
      </c>
      <c r="H120">
        <v>320</v>
      </c>
    </row>
    <row r="121" spans="1:8" x14ac:dyDescent="0.25">
      <c r="A121" t="s">
        <v>122</v>
      </c>
      <c r="B121">
        <v>30</v>
      </c>
      <c r="C121">
        <v>38.507659912109382</v>
      </c>
      <c r="D121">
        <f t="shared" si="2"/>
        <v>8.5076599121093821</v>
      </c>
      <c r="E121" t="str">
        <f t="shared" si="3"/>
        <v/>
      </c>
      <c r="F121" s="2">
        <v>2</v>
      </c>
      <c r="G121" s="2">
        <v>3</v>
      </c>
      <c r="H121">
        <v>320</v>
      </c>
    </row>
  </sheetData>
  <phoneticPr fontId="2" type="noConversion"/>
  <conditionalFormatting sqref="E2:E121">
    <cfRule type="cellIs" dxfId="11" priority="1" operator="between">
      <formula>1000</formula>
      <formula>6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1"/>
  <sheetViews>
    <sheetView topLeftCell="A100" workbookViewId="0">
      <selection activeCell="D122" sqref="D122"/>
    </sheetView>
  </sheetViews>
  <sheetFormatPr defaultRowHeight="15.75" x14ac:dyDescent="0.25"/>
  <cols>
    <col min="1" max="1" width="14" bestFit="1" customWidth="1"/>
    <col min="2" max="2" width="10.5703125" bestFit="1" customWidth="1"/>
    <col min="3" max="3" width="15.5703125" bestFit="1" customWidth="1"/>
    <col min="4" max="5" width="13" bestFit="1" customWidth="1"/>
    <col min="6" max="6" width="27.140625" bestFit="1" customWidth="1"/>
    <col min="8" max="8" width="5.42578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205</v>
      </c>
      <c r="E1" s="1" t="s">
        <v>206</v>
      </c>
      <c r="F1" s="1" t="s">
        <v>230</v>
      </c>
      <c r="G1" s="1" t="s">
        <v>231</v>
      </c>
      <c r="H1" s="1" t="s">
        <v>209</v>
      </c>
    </row>
    <row r="2" spans="1:8" ht="16.5" x14ac:dyDescent="0.25">
      <c r="A2" t="s">
        <v>3</v>
      </c>
      <c r="B2">
        <v>26</v>
      </c>
      <c r="C2">
        <v>26.817081451416019</v>
      </c>
      <c r="D2">
        <f>ABS(C2-B2)</f>
        <v>0.81708145141601918</v>
      </c>
      <c r="E2">
        <f>IF(MOD(ROW(),2)=0,ABS(C2-C3),"")</f>
        <v>0.49297904968262074</v>
      </c>
      <c r="F2" s="3">
        <v>1</v>
      </c>
      <c r="G2" s="2">
        <v>3</v>
      </c>
      <c r="H2">
        <v>101</v>
      </c>
    </row>
    <row r="3" spans="1:8" x14ac:dyDescent="0.25">
      <c r="A3" t="s">
        <v>4</v>
      </c>
      <c r="B3">
        <v>26</v>
      </c>
      <c r="C3">
        <v>26.324102401733398</v>
      </c>
      <c r="D3">
        <f t="shared" ref="D3:D66" si="0">ABS(C3-B3)</f>
        <v>0.32410240173339844</v>
      </c>
      <c r="E3" t="str">
        <f t="shared" ref="E3:E66" si="1">IF(MOD(ROW(),2)=0,ABS(C3-C4),"")</f>
        <v/>
      </c>
      <c r="F3" s="2">
        <v>1</v>
      </c>
      <c r="G3" s="2">
        <v>3</v>
      </c>
      <c r="H3">
        <v>101</v>
      </c>
    </row>
    <row r="4" spans="1:8" x14ac:dyDescent="0.25">
      <c r="A4" t="s">
        <v>5</v>
      </c>
      <c r="B4">
        <v>26</v>
      </c>
      <c r="C4">
        <v>25.09688758850098</v>
      </c>
      <c r="D4">
        <f t="shared" si="0"/>
        <v>0.90311241149901988</v>
      </c>
      <c r="E4">
        <f t="shared" si="1"/>
        <v>0.97476196289062145</v>
      </c>
      <c r="F4" s="2">
        <v>1</v>
      </c>
      <c r="G4" s="2">
        <v>3</v>
      </c>
      <c r="H4">
        <v>102</v>
      </c>
    </row>
    <row r="5" spans="1:8" x14ac:dyDescent="0.25">
      <c r="A5" t="s">
        <v>6</v>
      </c>
      <c r="B5">
        <v>26</v>
      </c>
      <c r="C5">
        <v>26.071649551391602</v>
      </c>
      <c r="D5">
        <f t="shared" si="0"/>
        <v>7.1649551391601563E-2</v>
      </c>
      <c r="E5" t="str">
        <f t="shared" si="1"/>
        <v/>
      </c>
      <c r="F5" s="2">
        <v>1</v>
      </c>
      <c r="G5" s="2">
        <v>3</v>
      </c>
      <c r="H5">
        <v>102</v>
      </c>
    </row>
    <row r="6" spans="1:8" x14ac:dyDescent="0.25">
      <c r="A6" t="s">
        <v>7</v>
      </c>
      <c r="B6">
        <v>26</v>
      </c>
      <c r="C6">
        <v>27.007856369018551</v>
      </c>
      <c r="D6">
        <f t="shared" si="0"/>
        <v>1.0078563690185511</v>
      </c>
      <c r="E6">
        <f t="shared" si="1"/>
        <v>7.517623901367898E-2</v>
      </c>
      <c r="F6" s="2">
        <v>1</v>
      </c>
      <c r="G6" s="2">
        <v>3</v>
      </c>
      <c r="H6">
        <v>103</v>
      </c>
    </row>
    <row r="7" spans="1:8" x14ac:dyDescent="0.25">
      <c r="A7" t="s">
        <v>8</v>
      </c>
      <c r="B7">
        <v>26</v>
      </c>
      <c r="C7">
        <v>27.08303260803223</v>
      </c>
      <c r="D7">
        <f t="shared" si="0"/>
        <v>1.0830326080322301</v>
      </c>
      <c r="E7" t="str">
        <f t="shared" si="1"/>
        <v/>
      </c>
      <c r="F7" s="2">
        <v>1</v>
      </c>
      <c r="G7" s="2">
        <v>3</v>
      </c>
      <c r="H7">
        <v>103</v>
      </c>
    </row>
    <row r="8" spans="1:8" x14ac:dyDescent="0.25">
      <c r="A8" t="s">
        <v>9</v>
      </c>
      <c r="B8">
        <v>26</v>
      </c>
      <c r="C8">
        <v>25.34278678894043</v>
      </c>
      <c r="D8">
        <f t="shared" si="0"/>
        <v>0.65721321105957031</v>
      </c>
      <c r="E8">
        <f t="shared" si="1"/>
        <v>0.81668090820312145</v>
      </c>
      <c r="F8" s="2">
        <v>1</v>
      </c>
      <c r="G8" s="2">
        <v>3</v>
      </c>
      <c r="H8">
        <v>104</v>
      </c>
    </row>
    <row r="9" spans="1:8" x14ac:dyDescent="0.25">
      <c r="A9" t="s">
        <v>10</v>
      </c>
      <c r="B9">
        <v>26</v>
      </c>
      <c r="C9">
        <v>26.159467697143551</v>
      </c>
      <c r="D9">
        <f t="shared" si="0"/>
        <v>0.15946769714355113</v>
      </c>
      <c r="E9" t="str">
        <f t="shared" si="1"/>
        <v/>
      </c>
      <c r="F9" s="2">
        <v>1</v>
      </c>
      <c r="G9" s="2">
        <v>3</v>
      </c>
      <c r="H9">
        <v>104</v>
      </c>
    </row>
    <row r="10" spans="1:8" x14ac:dyDescent="0.25">
      <c r="A10" t="s">
        <v>11</v>
      </c>
      <c r="B10">
        <v>26</v>
      </c>
      <c r="C10">
        <v>25.456563949584961</v>
      </c>
      <c r="D10">
        <f t="shared" si="0"/>
        <v>0.54343605041503906</v>
      </c>
      <c r="E10">
        <f t="shared" si="1"/>
        <v>0.80186080932616832</v>
      </c>
      <c r="F10" s="2">
        <v>1</v>
      </c>
      <c r="G10" s="2">
        <v>3</v>
      </c>
      <c r="H10">
        <v>105</v>
      </c>
    </row>
    <row r="11" spans="1:8" x14ac:dyDescent="0.25">
      <c r="A11" t="s">
        <v>12</v>
      </c>
      <c r="B11">
        <v>26</v>
      </c>
      <c r="C11">
        <v>26.258424758911129</v>
      </c>
      <c r="D11">
        <f t="shared" si="0"/>
        <v>0.25842475891112926</v>
      </c>
      <c r="E11" t="str">
        <f t="shared" si="1"/>
        <v/>
      </c>
      <c r="F11" s="2">
        <v>1</v>
      </c>
      <c r="G11" s="2">
        <v>3</v>
      </c>
      <c r="H11">
        <v>105</v>
      </c>
    </row>
    <row r="12" spans="1:8" x14ac:dyDescent="0.25">
      <c r="A12" t="s">
        <v>13</v>
      </c>
      <c r="B12">
        <v>26</v>
      </c>
      <c r="C12">
        <v>26.99301719665527</v>
      </c>
      <c r="D12">
        <f t="shared" si="0"/>
        <v>0.99301719665526988</v>
      </c>
      <c r="E12">
        <f t="shared" si="1"/>
        <v>1.4985408782958913</v>
      </c>
      <c r="F12" s="2">
        <v>1</v>
      </c>
      <c r="G12" s="2">
        <v>3</v>
      </c>
      <c r="H12">
        <v>106</v>
      </c>
    </row>
    <row r="13" spans="1:8" x14ac:dyDescent="0.25">
      <c r="A13" t="s">
        <v>14</v>
      </c>
      <c r="B13">
        <v>26</v>
      </c>
      <c r="C13">
        <v>25.494476318359379</v>
      </c>
      <c r="D13">
        <f t="shared" si="0"/>
        <v>0.50552368164062145</v>
      </c>
      <c r="E13" t="str">
        <f t="shared" si="1"/>
        <v/>
      </c>
      <c r="F13" s="2">
        <v>1</v>
      </c>
      <c r="G13" s="2">
        <v>3</v>
      </c>
      <c r="H13">
        <v>106</v>
      </c>
    </row>
    <row r="14" spans="1:8" x14ac:dyDescent="0.25">
      <c r="A14" t="s">
        <v>15</v>
      </c>
      <c r="B14">
        <v>26</v>
      </c>
      <c r="C14">
        <v>25.982870101928711</v>
      </c>
      <c r="D14">
        <f t="shared" si="0"/>
        <v>1.7129898071289063E-2</v>
      </c>
      <c r="E14">
        <f t="shared" si="1"/>
        <v>0.21249389648437855</v>
      </c>
      <c r="F14" s="2">
        <v>1</v>
      </c>
      <c r="G14" s="2">
        <v>3</v>
      </c>
      <c r="H14">
        <v>107</v>
      </c>
    </row>
    <row r="15" spans="1:8" x14ac:dyDescent="0.25">
      <c r="A15" t="s">
        <v>16</v>
      </c>
      <c r="B15">
        <v>26</v>
      </c>
      <c r="C15">
        <v>26.195363998413089</v>
      </c>
      <c r="D15">
        <f t="shared" si="0"/>
        <v>0.19536399841308949</v>
      </c>
      <c r="E15" t="str">
        <f t="shared" si="1"/>
        <v/>
      </c>
      <c r="F15" s="2">
        <v>1</v>
      </c>
      <c r="G15" s="2">
        <v>3</v>
      </c>
      <c r="H15">
        <v>107</v>
      </c>
    </row>
    <row r="16" spans="1:8" x14ac:dyDescent="0.25">
      <c r="A16" t="s">
        <v>17</v>
      </c>
      <c r="B16">
        <v>26</v>
      </c>
      <c r="C16">
        <v>26.179374694824219</v>
      </c>
      <c r="D16">
        <f t="shared" si="0"/>
        <v>0.17937469482421875</v>
      </c>
      <c r="E16">
        <f t="shared" si="1"/>
        <v>0.62645912170409801</v>
      </c>
      <c r="F16" s="2">
        <v>1</v>
      </c>
      <c r="G16" s="2">
        <v>3</v>
      </c>
      <c r="H16">
        <v>108</v>
      </c>
    </row>
    <row r="17" spans="1:8" x14ac:dyDescent="0.25">
      <c r="A17" t="s">
        <v>18</v>
      </c>
      <c r="B17">
        <v>26</v>
      </c>
      <c r="C17">
        <v>25.552915573120121</v>
      </c>
      <c r="D17">
        <f t="shared" si="0"/>
        <v>0.44708442687987926</v>
      </c>
      <c r="E17" t="str">
        <f t="shared" si="1"/>
        <v/>
      </c>
      <c r="F17" s="2">
        <v>1</v>
      </c>
      <c r="G17" s="2">
        <v>3</v>
      </c>
      <c r="H17">
        <v>108</v>
      </c>
    </row>
    <row r="18" spans="1:8" x14ac:dyDescent="0.25">
      <c r="A18" t="s">
        <v>19</v>
      </c>
      <c r="B18">
        <v>26</v>
      </c>
      <c r="C18">
        <v>25.733989715576168</v>
      </c>
      <c r="D18">
        <f t="shared" si="0"/>
        <v>0.26601028442383168</v>
      </c>
      <c r="E18">
        <f t="shared" si="1"/>
        <v>0.24664497375487926</v>
      </c>
      <c r="F18" s="2">
        <v>1</v>
      </c>
      <c r="G18" s="2">
        <v>3</v>
      </c>
      <c r="H18">
        <v>109</v>
      </c>
    </row>
    <row r="19" spans="1:8" x14ac:dyDescent="0.25">
      <c r="A19" t="s">
        <v>20</v>
      </c>
      <c r="B19">
        <v>26</v>
      </c>
      <c r="C19">
        <v>25.487344741821289</v>
      </c>
      <c r="D19">
        <f t="shared" si="0"/>
        <v>0.51265525817871094</v>
      </c>
      <c r="E19" t="str">
        <f t="shared" si="1"/>
        <v/>
      </c>
      <c r="F19" s="2">
        <v>1</v>
      </c>
      <c r="G19" s="2">
        <v>3</v>
      </c>
      <c r="H19">
        <v>109</v>
      </c>
    </row>
    <row r="20" spans="1:8" x14ac:dyDescent="0.25">
      <c r="A20" t="s">
        <v>21</v>
      </c>
      <c r="B20">
        <v>26</v>
      </c>
      <c r="C20">
        <v>26.553867340087891</v>
      </c>
      <c r="D20">
        <f t="shared" si="0"/>
        <v>0.55386734008789063</v>
      </c>
      <c r="E20">
        <f t="shared" si="1"/>
        <v>6.1864852905269885E-2</v>
      </c>
      <c r="F20" s="2">
        <v>1</v>
      </c>
      <c r="G20" s="2">
        <v>3</v>
      </c>
      <c r="H20">
        <v>110</v>
      </c>
    </row>
    <row r="21" spans="1:8" x14ac:dyDescent="0.25">
      <c r="A21" t="s">
        <v>22</v>
      </c>
      <c r="B21">
        <v>26</v>
      </c>
      <c r="C21">
        <v>26.615732192993161</v>
      </c>
      <c r="D21">
        <f t="shared" si="0"/>
        <v>0.61573219299316051</v>
      </c>
      <c r="E21" t="str">
        <f t="shared" si="1"/>
        <v/>
      </c>
      <c r="F21" s="2">
        <v>1</v>
      </c>
      <c r="G21" s="2">
        <v>3</v>
      </c>
      <c r="H21">
        <v>110</v>
      </c>
    </row>
    <row r="22" spans="1:8" x14ac:dyDescent="0.25">
      <c r="A22" t="s">
        <v>23</v>
      </c>
      <c r="B22">
        <v>26</v>
      </c>
      <c r="C22">
        <v>26.453403472900391</v>
      </c>
      <c r="D22">
        <f t="shared" si="0"/>
        <v>0.45340347290039063</v>
      </c>
      <c r="E22">
        <f t="shared" si="1"/>
        <v>0.19074821472167969</v>
      </c>
      <c r="F22" s="2">
        <v>1</v>
      </c>
      <c r="G22" s="2">
        <v>3</v>
      </c>
      <c r="H22">
        <v>111</v>
      </c>
    </row>
    <row r="23" spans="1:8" x14ac:dyDescent="0.25">
      <c r="A23" t="s">
        <v>24</v>
      </c>
      <c r="B23">
        <v>26</v>
      </c>
      <c r="C23">
        <v>26.262655258178711</v>
      </c>
      <c r="D23">
        <f t="shared" si="0"/>
        <v>0.26265525817871094</v>
      </c>
      <c r="E23" t="str">
        <f t="shared" si="1"/>
        <v/>
      </c>
      <c r="F23" s="2">
        <v>1</v>
      </c>
      <c r="G23" s="2">
        <v>3</v>
      </c>
      <c r="H23">
        <v>111</v>
      </c>
    </row>
    <row r="24" spans="1:8" x14ac:dyDescent="0.25">
      <c r="A24" t="s">
        <v>25</v>
      </c>
      <c r="B24">
        <v>26</v>
      </c>
      <c r="C24">
        <v>28.69212532043457</v>
      </c>
      <c r="D24">
        <f t="shared" si="0"/>
        <v>2.6921253204345703</v>
      </c>
      <c r="E24">
        <f t="shared" si="1"/>
        <v>1.8608322143554688</v>
      </c>
      <c r="F24" s="2">
        <v>1</v>
      </c>
      <c r="G24" s="2">
        <v>3</v>
      </c>
      <c r="H24">
        <v>112</v>
      </c>
    </row>
    <row r="25" spans="1:8" x14ac:dyDescent="0.25">
      <c r="A25" t="s">
        <v>26</v>
      </c>
      <c r="B25">
        <v>26</v>
      </c>
      <c r="C25">
        <v>26.831293106079102</v>
      </c>
      <c r="D25">
        <f t="shared" si="0"/>
        <v>0.83129310607910156</v>
      </c>
      <c r="E25" t="str">
        <f t="shared" si="1"/>
        <v/>
      </c>
      <c r="F25" s="2">
        <v>1</v>
      </c>
      <c r="G25" s="2">
        <v>3</v>
      </c>
      <c r="H25">
        <v>112</v>
      </c>
    </row>
    <row r="26" spans="1:8" x14ac:dyDescent="0.25">
      <c r="A26" t="s">
        <v>27</v>
      </c>
      <c r="B26">
        <v>26</v>
      </c>
      <c r="C26">
        <v>27.22265625</v>
      </c>
      <c r="D26">
        <f t="shared" si="0"/>
        <v>1.22265625</v>
      </c>
      <c r="E26">
        <f t="shared" si="1"/>
        <v>0.1943740844726598</v>
      </c>
      <c r="F26" s="2">
        <v>1</v>
      </c>
      <c r="G26" s="2">
        <v>3</v>
      </c>
      <c r="H26">
        <v>113</v>
      </c>
    </row>
    <row r="27" spans="1:8" x14ac:dyDescent="0.25">
      <c r="A27" t="s">
        <v>28</v>
      </c>
      <c r="B27">
        <v>26</v>
      </c>
      <c r="C27">
        <v>27.02828216552734</v>
      </c>
      <c r="D27">
        <f t="shared" si="0"/>
        <v>1.0282821655273402</v>
      </c>
      <c r="E27" t="str">
        <f t="shared" si="1"/>
        <v/>
      </c>
      <c r="F27" s="2">
        <v>1</v>
      </c>
      <c r="G27" s="2">
        <v>3</v>
      </c>
      <c r="H27">
        <v>113</v>
      </c>
    </row>
    <row r="28" spans="1:8" x14ac:dyDescent="0.25">
      <c r="A28" t="s">
        <v>29</v>
      </c>
      <c r="B28">
        <v>26</v>
      </c>
      <c r="C28">
        <v>27.300786972045898</v>
      </c>
      <c r="D28">
        <f t="shared" si="0"/>
        <v>1.3007869720458984</v>
      </c>
      <c r="E28">
        <f t="shared" si="1"/>
        <v>0.77148818969726918</v>
      </c>
      <c r="F28" s="2">
        <v>1</v>
      </c>
      <c r="G28" s="2">
        <v>3</v>
      </c>
      <c r="H28">
        <v>114</v>
      </c>
    </row>
    <row r="29" spans="1:8" x14ac:dyDescent="0.25">
      <c r="A29" t="s">
        <v>30</v>
      </c>
      <c r="B29">
        <v>26</v>
      </c>
      <c r="C29">
        <v>26.529298782348629</v>
      </c>
      <c r="D29">
        <f t="shared" si="0"/>
        <v>0.52929878234862926</v>
      </c>
      <c r="E29" t="str">
        <f t="shared" si="1"/>
        <v/>
      </c>
      <c r="F29" s="2">
        <v>1</v>
      </c>
      <c r="G29" s="2">
        <v>3</v>
      </c>
      <c r="H29">
        <v>114</v>
      </c>
    </row>
    <row r="30" spans="1:8" x14ac:dyDescent="0.25">
      <c r="A30" t="s">
        <v>31</v>
      </c>
      <c r="B30">
        <v>26</v>
      </c>
      <c r="C30">
        <v>28.046133041381839</v>
      </c>
      <c r="D30">
        <f t="shared" si="0"/>
        <v>2.0461330413818395</v>
      </c>
      <c r="E30">
        <f t="shared" si="1"/>
        <v>1.5713348388671911</v>
      </c>
      <c r="F30" s="2">
        <v>1</v>
      </c>
      <c r="G30" s="2">
        <v>3</v>
      </c>
      <c r="H30">
        <v>115</v>
      </c>
    </row>
    <row r="31" spans="1:8" x14ac:dyDescent="0.25">
      <c r="A31" t="s">
        <v>32</v>
      </c>
      <c r="B31">
        <v>26</v>
      </c>
      <c r="C31">
        <v>26.474798202514648</v>
      </c>
      <c r="D31">
        <f t="shared" si="0"/>
        <v>0.47479820251464844</v>
      </c>
      <c r="E31" t="str">
        <f t="shared" si="1"/>
        <v/>
      </c>
      <c r="F31" s="2">
        <v>1</v>
      </c>
      <c r="G31" s="2">
        <v>3</v>
      </c>
      <c r="H31">
        <v>115</v>
      </c>
    </row>
    <row r="32" spans="1:8" x14ac:dyDescent="0.25">
      <c r="A32" t="s">
        <v>33</v>
      </c>
      <c r="B32">
        <v>26</v>
      </c>
      <c r="C32">
        <v>26.234226226806641</v>
      </c>
      <c r="D32">
        <f t="shared" si="0"/>
        <v>0.23422622680664063</v>
      </c>
      <c r="E32">
        <f t="shared" si="1"/>
        <v>0.40433311462401988</v>
      </c>
      <c r="F32" s="2">
        <v>1</v>
      </c>
      <c r="G32" s="2">
        <v>3</v>
      </c>
      <c r="H32">
        <v>116</v>
      </c>
    </row>
    <row r="33" spans="1:8" x14ac:dyDescent="0.25">
      <c r="A33" t="s">
        <v>34</v>
      </c>
      <c r="B33">
        <v>26</v>
      </c>
      <c r="C33">
        <v>26.638559341430661</v>
      </c>
      <c r="D33">
        <f t="shared" si="0"/>
        <v>0.63855934143066051</v>
      </c>
      <c r="E33" t="str">
        <f t="shared" si="1"/>
        <v/>
      </c>
      <c r="F33" s="2">
        <v>1</v>
      </c>
      <c r="G33" s="2">
        <v>3</v>
      </c>
      <c r="H33">
        <v>116</v>
      </c>
    </row>
    <row r="34" spans="1:8" x14ac:dyDescent="0.25">
      <c r="A34" t="s">
        <v>35</v>
      </c>
      <c r="B34">
        <v>26</v>
      </c>
      <c r="C34">
        <v>25.765623092651371</v>
      </c>
      <c r="D34">
        <f t="shared" si="0"/>
        <v>0.23437690734862926</v>
      </c>
      <c r="E34">
        <f t="shared" si="1"/>
        <v>0.72305297851561789</v>
      </c>
      <c r="F34" s="2">
        <v>1</v>
      </c>
      <c r="G34" s="2">
        <v>3</v>
      </c>
      <c r="H34">
        <v>117</v>
      </c>
    </row>
    <row r="35" spans="1:8" x14ac:dyDescent="0.25">
      <c r="A35" t="s">
        <v>36</v>
      </c>
      <c r="B35">
        <v>26</v>
      </c>
      <c r="C35">
        <v>26.488676071166989</v>
      </c>
      <c r="D35">
        <f t="shared" si="0"/>
        <v>0.48867607116698863</v>
      </c>
      <c r="E35" t="str">
        <f t="shared" si="1"/>
        <v/>
      </c>
      <c r="F35" s="2">
        <v>1</v>
      </c>
      <c r="G35" s="2">
        <v>3</v>
      </c>
      <c r="H35">
        <v>117</v>
      </c>
    </row>
    <row r="36" spans="1:8" x14ac:dyDescent="0.25">
      <c r="A36" t="s">
        <v>37</v>
      </c>
      <c r="B36">
        <v>26</v>
      </c>
      <c r="C36">
        <v>25.670578002929691</v>
      </c>
      <c r="D36">
        <f t="shared" si="0"/>
        <v>0.32942199707030895</v>
      </c>
      <c r="E36">
        <f t="shared" si="1"/>
        <v>2.0227355957031179</v>
      </c>
      <c r="F36" s="2">
        <v>1</v>
      </c>
      <c r="G36" s="2">
        <v>3</v>
      </c>
      <c r="H36">
        <v>118</v>
      </c>
    </row>
    <row r="37" spans="1:8" x14ac:dyDescent="0.25">
      <c r="A37" t="s">
        <v>38</v>
      </c>
      <c r="B37">
        <v>26</v>
      </c>
      <c r="C37">
        <v>27.693313598632809</v>
      </c>
      <c r="D37">
        <f t="shared" si="0"/>
        <v>1.6933135986328089</v>
      </c>
      <c r="E37" t="str">
        <f t="shared" si="1"/>
        <v/>
      </c>
      <c r="F37" s="2">
        <v>1</v>
      </c>
      <c r="G37" s="2">
        <v>3</v>
      </c>
      <c r="H37">
        <v>118</v>
      </c>
    </row>
    <row r="38" spans="1:8" x14ac:dyDescent="0.25">
      <c r="A38" t="s">
        <v>39</v>
      </c>
      <c r="B38">
        <v>26</v>
      </c>
      <c r="C38">
        <v>26.845441818237301</v>
      </c>
      <c r="D38">
        <f t="shared" si="0"/>
        <v>0.84544181823730113</v>
      </c>
      <c r="E38">
        <f t="shared" si="1"/>
        <v>0.25122451782226207</v>
      </c>
      <c r="F38" s="2">
        <v>1</v>
      </c>
      <c r="G38" s="2">
        <v>3</v>
      </c>
      <c r="H38">
        <v>119</v>
      </c>
    </row>
    <row r="39" spans="1:8" x14ac:dyDescent="0.25">
      <c r="A39" t="s">
        <v>40</v>
      </c>
      <c r="B39">
        <v>26</v>
      </c>
      <c r="C39">
        <v>26.594217300415039</v>
      </c>
      <c r="D39">
        <f t="shared" si="0"/>
        <v>0.59421730041503906</v>
      </c>
      <c r="E39" t="str">
        <f t="shared" si="1"/>
        <v/>
      </c>
      <c r="F39" s="2">
        <v>1</v>
      </c>
      <c r="G39" s="2">
        <v>3</v>
      </c>
      <c r="H39">
        <v>119</v>
      </c>
    </row>
    <row r="40" spans="1:8" x14ac:dyDescent="0.25">
      <c r="A40" t="s">
        <v>41</v>
      </c>
      <c r="B40">
        <v>26</v>
      </c>
      <c r="C40">
        <v>27.794795989990231</v>
      </c>
      <c r="D40">
        <f t="shared" si="0"/>
        <v>1.7947959899902308</v>
      </c>
      <c r="E40">
        <f t="shared" si="1"/>
        <v>0.48122596740721946</v>
      </c>
      <c r="F40" s="2">
        <v>1</v>
      </c>
      <c r="G40" s="2">
        <v>3</v>
      </c>
      <c r="H40">
        <v>120</v>
      </c>
    </row>
    <row r="41" spans="1:8" x14ac:dyDescent="0.25">
      <c r="A41" t="s">
        <v>42</v>
      </c>
      <c r="B41">
        <v>26</v>
      </c>
      <c r="C41">
        <v>27.313570022583011</v>
      </c>
      <c r="D41">
        <f t="shared" si="0"/>
        <v>1.3135700225830114</v>
      </c>
      <c r="E41" t="str">
        <f t="shared" si="1"/>
        <v/>
      </c>
      <c r="F41" s="2">
        <v>1</v>
      </c>
      <c r="G41" s="2">
        <v>3</v>
      </c>
      <c r="H41">
        <v>120</v>
      </c>
    </row>
    <row r="42" spans="1:8" x14ac:dyDescent="0.25">
      <c r="A42" t="s">
        <v>43</v>
      </c>
      <c r="B42">
        <v>31</v>
      </c>
      <c r="C42">
        <v>30.609319686889648</v>
      </c>
      <c r="D42">
        <f t="shared" si="0"/>
        <v>0.39068031311035156</v>
      </c>
      <c r="E42">
        <f t="shared" si="1"/>
        <v>1.1497077941894496</v>
      </c>
      <c r="F42" s="2">
        <v>1</v>
      </c>
      <c r="G42" s="2">
        <v>3</v>
      </c>
      <c r="H42">
        <v>201</v>
      </c>
    </row>
    <row r="43" spans="1:8" x14ac:dyDescent="0.25">
      <c r="A43" t="s">
        <v>44</v>
      </c>
      <c r="B43">
        <v>31</v>
      </c>
      <c r="C43">
        <v>29.459611892700199</v>
      </c>
      <c r="D43">
        <f t="shared" si="0"/>
        <v>1.5403881072998011</v>
      </c>
      <c r="E43" t="str">
        <f t="shared" si="1"/>
        <v/>
      </c>
      <c r="F43" s="2">
        <v>1</v>
      </c>
      <c r="G43" s="2">
        <v>3</v>
      </c>
      <c r="H43">
        <v>201</v>
      </c>
    </row>
    <row r="44" spans="1:8" x14ac:dyDescent="0.25">
      <c r="A44" t="s">
        <v>45</v>
      </c>
      <c r="B44">
        <v>31</v>
      </c>
      <c r="C44">
        <v>29.662843704223629</v>
      </c>
      <c r="D44">
        <f t="shared" si="0"/>
        <v>1.3371562957763707</v>
      </c>
      <c r="E44">
        <f t="shared" si="1"/>
        <v>2.2100772857666016</v>
      </c>
      <c r="F44" s="2">
        <v>1</v>
      </c>
      <c r="G44" s="2">
        <v>3</v>
      </c>
      <c r="H44">
        <v>202</v>
      </c>
    </row>
    <row r="45" spans="1:8" x14ac:dyDescent="0.25">
      <c r="A45" t="s">
        <v>46</v>
      </c>
      <c r="B45">
        <v>31</v>
      </c>
      <c r="C45">
        <v>31.872920989990231</v>
      </c>
      <c r="D45">
        <f t="shared" si="0"/>
        <v>0.87292098999023082</v>
      </c>
      <c r="E45" t="str">
        <f t="shared" si="1"/>
        <v/>
      </c>
      <c r="F45" s="2">
        <v>1</v>
      </c>
      <c r="G45" s="2">
        <v>3</v>
      </c>
      <c r="H45">
        <v>202</v>
      </c>
    </row>
    <row r="46" spans="1:8" x14ac:dyDescent="0.25">
      <c r="A46" t="s">
        <v>47</v>
      </c>
      <c r="B46">
        <v>31</v>
      </c>
      <c r="C46">
        <v>31.029281616210941</v>
      </c>
      <c r="D46">
        <f t="shared" si="0"/>
        <v>2.9281616210941053E-2</v>
      </c>
      <c r="E46">
        <f t="shared" si="1"/>
        <v>2.1919956207275426</v>
      </c>
      <c r="F46" s="2">
        <v>1</v>
      </c>
      <c r="G46" s="2">
        <v>3</v>
      </c>
      <c r="H46">
        <v>203</v>
      </c>
    </row>
    <row r="47" spans="1:8" x14ac:dyDescent="0.25">
      <c r="A47" t="s">
        <v>48</v>
      </c>
      <c r="B47">
        <v>31</v>
      </c>
      <c r="C47">
        <v>28.837285995483398</v>
      </c>
      <c r="D47">
        <f t="shared" si="0"/>
        <v>2.1627140045166016</v>
      </c>
      <c r="E47" t="str">
        <f t="shared" si="1"/>
        <v/>
      </c>
      <c r="F47" s="2">
        <v>1</v>
      </c>
      <c r="G47" s="2">
        <v>3</v>
      </c>
      <c r="H47">
        <v>203</v>
      </c>
    </row>
    <row r="48" spans="1:8" x14ac:dyDescent="0.25">
      <c r="A48" t="s">
        <v>49</v>
      </c>
      <c r="B48">
        <v>31</v>
      </c>
      <c r="C48">
        <v>28.115171432495121</v>
      </c>
      <c r="D48">
        <f t="shared" si="0"/>
        <v>2.8848285675048793</v>
      </c>
      <c r="E48">
        <f t="shared" si="1"/>
        <v>1.1708106994628906</v>
      </c>
      <c r="F48" s="2">
        <v>1</v>
      </c>
      <c r="G48" s="2">
        <v>3</v>
      </c>
      <c r="H48">
        <v>204</v>
      </c>
    </row>
    <row r="49" spans="1:8" x14ac:dyDescent="0.25">
      <c r="A49" t="s">
        <v>50</v>
      </c>
      <c r="B49">
        <v>31</v>
      </c>
      <c r="C49">
        <v>29.285982131958011</v>
      </c>
      <c r="D49">
        <f t="shared" si="0"/>
        <v>1.7140178680419886</v>
      </c>
      <c r="E49" t="str">
        <f t="shared" si="1"/>
        <v/>
      </c>
      <c r="F49" s="2">
        <v>1</v>
      </c>
      <c r="G49" s="2">
        <v>3</v>
      </c>
      <c r="H49">
        <v>204</v>
      </c>
    </row>
    <row r="50" spans="1:8" x14ac:dyDescent="0.25">
      <c r="A50" t="s">
        <v>51</v>
      </c>
      <c r="B50">
        <v>31</v>
      </c>
      <c r="C50">
        <v>29.737575531005859</v>
      </c>
      <c r="D50">
        <f t="shared" si="0"/>
        <v>1.2624244689941406</v>
      </c>
      <c r="E50">
        <f t="shared" si="1"/>
        <v>0.82980918884276988</v>
      </c>
      <c r="F50" s="2">
        <v>1</v>
      </c>
      <c r="G50" s="2">
        <v>3</v>
      </c>
      <c r="H50">
        <v>205</v>
      </c>
    </row>
    <row r="51" spans="1:8" x14ac:dyDescent="0.25">
      <c r="A51" t="s">
        <v>52</v>
      </c>
      <c r="B51">
        <v>31</v>
      </c>
      <c r="C51">
        <v>28.907766342163089</v>
      </c>
      <c r="D51">
        <f t="shared" si="0"/>
        <v>2.0922336578369105</v>
      </c>
      <c r="E51" t="str">
        <f t="shared" si="1"/>
        <v/>
      </c>
      <c r="F51" s="2">
        <v>1</v>
      </c>
      <c r="G51" s="2">
        <v>3</v>
      </c>
      <c r="H51">
        <v>205</v>
      </c>
    </row>
    <row r="52" spans="1:8" x14ac:dyDescent="0.25">
      <c r="A52" t="s">
        <v>53</v>
      </c>
      <c r="B52">
        <v>31</v>
      </c>
      <c r="C52">
        <v>28.14661979675293</v>
      </c>
      <c r="D52">
        <f t="shared" si="0"/>
        <v>2.8533802032470703</v>
      </c>
      <c r="E52">
        <f t="shared" si="1"/>
        <v>2.4892120361328089</v>
      </c>
      <c r="F52" s="2">
        <v>1</v>
      </c>
      <c r="G52" s="2">
        <v>3</v>
      </c>
      <c r="H52">
        <v>206</v>
      </c>
    </row>
    <row r="53" spans="1:8" x14ac:dyDescent="0.25">
      <c r="A53" t="s">
        <v>54</v>
      </c>
      <c r="B53">
        <v>31</v>
      </c>
      <c r="C53">
        <v>30.635831832885739</v>
      </c>
      <c r="D53">
        <f t="shared" si="0"/>
        <v>0.36416816711426137</v>
      </c>
      <c r="E53" t="str">
        <f t="shared" si="1"/>
        <v/>
      </c>
      <c r="F53" s="2">
        <v>1</v>
      </c>
      <c r="G53" s="2">
        <v>3</v>
      </c>
      <c r="H53">
        <v>206</v>
      </c>
    </row>
    <row r="54" spans="1:8" x14ac:dyDescent="0.25">
      <c r="A54" t="s">
        <v>55</v>
      </c>
      <c r="B54">
        <v>31</v>
      </c>
      <c r="C54">
        <v>30.00086784362793</v>
      </c>
      <c r="D54">
        <f t="shared" si="0"/>
        <v>0.99913215637207031</v>
      </c>
      <c r="E54">
        <f t="shared" si="1"/>
        <v>0.36574172973633168</v>
      </c>
      <c r="F54" s="2">
        <v>1</v>
      </c>
      <c r="G54" s="2">
        <v>3</v>
      </c>
      <c r="H54">
        <v>207</v>
      </c>
    </row>
    <row r="55" spans="1:8" x14ac:dyDescent="0.25">
      <c r="A55" t="s">
        <v>56</v>
      </c>
      <c r="B55">
        <v>31</v>
      </c>
      <c r="C55">
        <v>30.366609573364261</v>
      </c>
      <c r="D55">
        <f t="shared" si="0"/>
        <v>0.63339042663573863</v>
      </c>
      <c r="E55" t="str">
        <f t="shared" si="1"/>
        <v/>
      </c>
      <c r="F55" s="2">
        <v>1</v>
      </c>
      <c r="G55" s="2">
        <v>3</v>
      </c>
      <c r="H55">
        <v>207</v>
      </c>
    </row>
    <row r="56" spans="1:8" x14ac:dyDescent="0.25">
      <c r="A56" t="s">
        <v>57</v>
      </c>
      <c r="B56">
        <v>31</v>
      </c>
      <c r="C56">
        <v>30.537872314453121</v>
      </c>
      <c r="D56">
        <f t="shared" si="0"/>
        <v>0.46212768554687855</v>
      </c>
      <c r="E56">
        <f t="shared" si="1"/>
        <v>2.137369155883782</v>
      </c>
      <c r="F56" s="2">
        <v>1</v>
      </c>
      <c r="G56" s="2">
        <v>3</v>
      </c>
      <c r="H56">
        <v>208</v>
      </c>
    </row>
    <row r="57" spans="1:8" x14ac:dyDescent="0.25">
      <c r="A57" t="s">
        <v>58</v>
      </c>
      <c r="B57">
        <v>31</v>
      </c>
      <c r="C57">
        <v>28.400503158569339</v>
      </c>
      <c r="D57">
        <f t="shared" si="0"/>
        <v>2.5994968414306605</v>
      </c>
      <c r="E57" t="str">
        <f t="shared" si="1"/>
        <v/>
      </c>
      <c r="F57" s="2">
        <v>1</v>
      </c>
      <c r="G57" s="2">
        <v>3</v>
      </c>
      <c r="H57">
        <v>208</v>
      </c>
    </row>
    <row r="58" spans="1:8" x14ac:dyDescent="0.25">
      <c r="A58" t="s">
        <v>59</v>
      </c>
      <c r="B58">
        <v>31</v>
      </c>
      <c r="C58">
        <v>28.286453247070309</v>
      </c>
      <c r="D58">
        <f t="shared" si="0"/>
        <v>2.7135467529296911</v>
      </c>
      <c r="E58">
        <f t="shared" si="1"/>
        <v>0.55398941040039063</v>
      </c>
      <c r="F58" s="2">
        <v>1</v>
      </c>
      <c r="G58" s="2">
        <v>3</v>
      </c>
      <c r="H58">
        <v>209</v>
      </c>
    </row>
    <row r="59" spans="1:8" x14ac:dyDescent="0.25">
      <c r="A59" t="s">
        <v>60</v>
      </c>
      <c r="B59">
        <v>31</v>
      </c>
      <c r="C59">
        <v>28.8404426574707</v>
      </c>
      <c r="D59">
        <f t="shared" si="0"/>
        <v>2.1595573425293004</v>
      </c>
      <c r="E59" t="str">
        <f t="shared" si="1"/>
        <v/>
      </c>
      <c r="F59" s="2">
        <v>1</v>
      </c>
      <c r="G59" s="2">
        <v>3</v>
      </c>
      <c r="H59">
        <v>209</v>
      </c>
    </row>
    <row r="60" spans="1:8" x14ac:dyDescent="0.25">
      <c r="A60" t="s">
        <v>61</v>
      </c>
      <c r="B60">
        <v>31</v>
      </c>
      <c r="C60">
        <v>30.862947463989261</v>
      </c>
      <c r="D60">
        <f t="shared" si="0"/>
        <v>0.13705253601073863</v>
      </c>
      <c r="E60">
        <f t="shared" si="1"/>
        <v>1.8068199157714915</v>
      </c>
      <c r="F60" s="2">
        <v>1</v>
      </c>
      <c r="G60" s="2">
        <v>3</v>
      </c>
      <c r="H60">
        <v>210</v>
      </c>
    </row>
    <row r="61" spans="1:8" x14ac:dyDescent="0.25">
      <c r="A61" t="s">
        <v>62</v>
      </c>
      <c r="B61">
        <v>31</v>
      </c>
      <c r="C61">
        <v>29.05612754821777</v>
      </c>
      <c r="D61">
        <f t="shared" si="0"/>
        <v>1.9438724517822301</v>
      </c>
      <c r="E61" t="str">
        <f t="shared" si="1"/>
        <v/>
      </c>
      <c r="F61" s="2">
        <v>1</v>
      </c>
      <c r="G61" s="2">
        <v>3</v>
      </c>
      <c r="H61">
        <v>210</v>
      </c>
    </row>
    <row r="62" spans="1:8" x14ac:dyDescent="0.25">
      <c r="A62" t="s">
        <v>63</v>
      </c>
      <c r="B62">
        <v>31</v>
      </c>
      <c r="C62">
        <v>28.843233108520511</v>
      </c>
      <c r="D62">
        <f t="shared" si="0"/>
        <v>2.1567668914794886</v>
      </c>
      <c r="E62">
        <f t="shared" si="1"/>
        <v>0.19421768188477273</v>
      </c>
      <c r="F62" s="2">
        <v>1</v>
      </c>
      <c r="G62" s="2">
        <v>3</v>
      </c>
      <c r="H62">
        <v>211</v>
      </c>
    </row>
    <row r="63" spans="1:8" x14ac:dyDescent="0.25">
      <c r="A63" t="s">
        <v>64</v>
      </c>
      <c r="B63">
        <v>31</v>
      </c>
      <c r="C63">
        <v>28.649015426635739</v>
      </c>
      <c r="D63">
        <f t="shared" si="0"/>
        <v>2.3509845733642614</v>
      </c>
      <c r="E63" t="str">
        <f t="shared" si="1"/>
        <v/>
      </c>
      <c r="F63" s="2">
        <v>1</v>
      </c>
      <c r="G63" s="2">
        <v>3</v>
      </c>
      <c r="H63">
        <v>211</v>
      </c>
    </row>
    <row r="64" spans="1:8" x14ac:dyDescent="0.25">
      <c r="A64" t="s">
        <v>65</v>
      </c>
      <c r="B64">
        <v>31</v>
      </c>
      <c r="C64">
        <v>27.008222579956051</v>
      </c>
      <c r="D64">
        <f t="shared" si="0"/>
        <v>3.9917774200439489</v>
      </c>
      <c r="E64">
        <f t="shared" si="1"/>
        <v>1.6602630615234375</v>
      </c>
      <c r="F64" s="2">
        <v>1</v>
      </c>
      <c r="G64" s="2">
        <v>3</v>
      </c>
      <c r="H64">
        <v>212</v>
      </c>
    </row>
    <row r="65" spans="1:8" x14ac:dyDescent="0.25">
      <c r="A65" t="s">
        <v>66</v>
      </c>
      <c r="B65">
        <v>31</v>
      </c>
      <c r="C65">
        <v>28.668485641479489</v>
      </c>
      <c r="D65">
        <f t="shared" si="0"/>
        <v>2.3315143585205114</v>
      </c>
      <c r="E65" t="str">
        <f t="shared" si="1"/>
        <v/>
      </c>
      <c r="F65" s="2">
        <v>1</v>
      </c>
      <c r="G65" s="2">
        <v>3</v>
      </c>
      <c r="H65">
        <v>212</v>
      </c>
    </row>
    <row r="66" spans="1:8" x14ac:dyDescent="0.25">
      <c r="A66" t="s">
        <v>67</v>
      </c>
      <c r="B66">
        <v>31</v>
      </c>
      <c r="C66">
        <v>30.059915542602539</v>
      </c>
      <c r="D66">
        <f t="shared" si="0"/>
        <v>0.94008445739746094</v>
      </c>
      <c r="E66">
        <f t="shared" si="1"/>
        <v>1.2791061401367188</v>
      </c>
      <c r="F66" s="2">
        <v>1</v>
      </c>
      <c r="G66" s="2">
        <v>3</v>
      </c>
      <c r="H66">
        <v>213</v>
      </c>
    </row>
    <row r="67" spans="1:8" x14ac:dyDescent="0.25">
      <c r="A67" t="s">
        <v>68</v>
      </c>
      <c r="B67">
        <v>31</v>
      </c>
      <c r="C67">
        <v>28.78080940246582</v>
      </c>
      <c r="D67">
        <f t="shared" ref="D67:D121" si="2">ABS(C67-B67)</f>
        <v>2.2191905975341797</v>
      </c>
      <c r="E67" t="str">
        <f t="shared" ref="E67:E121" si="3">IF(MOD(ROW(),2)=0,ABS(C67-C68),"")</f>
        <v/>
      </c>
      <c r="F67" s="2">
        <v>1</v>
      </c>
      <c r="G67" s="2">
        <v>3</v>
      </c>
      <c r="H67">
        <v>213</v>
      </c>
    </row>
    <row r="68" spans="1:8" x14ac:dyDescent="0.25">
      <c r="A68" t="s">
        <v>69</v>
      </c>
      <c r="B68">
        <v>31</v>
      </c>
      <c r="C68">
        <v>26.197320938110352</v>
      </c>
      <c r="D68">
        <f t="shared" si="2"/>
        <v>4.8026790618896484</v>
      </c>
      <c r="E68">
        <f t="shared" si="3"/>
        <v>3.3193283081054688</v>
      </c>
      <c r="F68" s="2">
        <v>1</v>
      </c>
      <c r="G68" s="2">
        <v>3</v>
      </c>
      <c r="H68">
        <v>214</v>
      </c>
    </row>
    <row r="69" spans="1:8" x14ac:dyDescent="0.25">
      <c r="A69" t="s">
        <v>70</v>
      </c>
      <c r="B69">
        <v>31</v>
      </c>
      <c r="C69">
        <v>29.51664924621582</v>
      </c>
      <c r="D69">
        <f t="shared" si="2"/>
        <v>1.4833507537841797</v>
      </c>
      <c r="E69" t="str">
        <f t="shared" si="3"/>
        <v/>
      </c>
      <c r="F69" s="2">
        <v>1</v>
      </c>
      <c r="G69" s="2">
        <v>3</v>
      </c>
      <c r="H69">
        <v>214</v>
      </c>
    </row>
    <row r="70" spans="1:8" x14ac:dyDescent="0.25">
      <c r="A70" t="s">
        <v>71</v>
      </c>
      <c r="B70">
        <v>31</v>
      </c>
      <c r="C70">
        <v>30.732662200927731</v>
      </c>
      <c r="D70">
        <f t="shared" si="2"/>
        <v>0.26733779907226918</v>
      </c>
      <c r="E70">
        <f t="shared" si="3"/>
        <v>0.5700912475585902</v>
      </c>
      <c r="F70" s="2">
        <v>1</v>
      </c>
      <c r="G70" s="2">
        <v>3</v>
      </c>
      <c r="H70">
        <v>215</v>
      </c>
    </row>
    <row r="71" spans="1:8" x14ac:dyDescent="0.25">
      <c r="A71" t="s">
        <v>72</v>
      </c>
      <c r="B71">
        <v>31</v>
      </c>
      <c r="C71">
        <v>30.162570953369141</v>
      </c>
      <c r="D71">
        <f t="shared" si="2"/>
        <v>0.83742904663085938</v>
      </c>
      <c r="E71" t="str">
        <f t="shared" si="3"/>
        <v/>
      </c>
      <c r="F71" s="2">
        <v>1</v>
      </c>
      <c r="G71" s="2">
        <v>3</v>
      </c>
      <c r="H71">
        <v>215</v>
      </c>
    </row>
    <row r="72" spans="1:8" x14ac:dyDescent="0.25">
      <c r="A72" t="s">
        <v>73</v>
      </c>
      <c r="B72">
        <v>31</v>
      </c>
      <c r="C72">
        <v>27.386697769165039</v>
      </c>
      <c r="D72">
        <f t="shared" si="2"/>
        <v>3.6133022308349609</v>
      </c>
      <c r="E72">
        <f t="shared" si="3"/>
        <v>1.0618362426757813</v>
      </c>
      <c r="F72" s="2">
        <v>1</v>
      </c>
      <c r="G72" s="2">
        <v>3</v>
      </c>
      <c r="H72">
        <v>216</v>
      </c>
    </row>
    <row r="73" spans="1:8" x14ac:dyDescent="0.25">
      <c r="A73" t="s">
        <v>74</v>
      </c>
      <c r="B73">
        <v>31</v>
      </c>
      <c r="C73">
        <v>28.44853401184082</v>
      </c>
      <c r="D73">
        <f t="shared" si="2"/>
        <v>2.5514659881591797</v>
      </c>
      <c r="E73" t="str">
        <f t="shared" si="3"/>
        <v/>
      </c>
      <c r="F73" s="2">
        <v>1</v>
      </c>
      <c r="G73" s="2">
        <v>3</v>
      </c>
      <c r="H73">
        <v>216</v>
      </c>
    </row>
    <row r="74" spans="1:8" x14ac:dyDescent="0.25">
      <c r="A74" t="s">
        <v>75</v>
      </c>
      <c r="B74">
        <v>31</v>
      </c>
      <c r="C74">
        <v>28.060188293457031</v>
      </c>
      <c r="D74">
        <f t="shared" si="2"/>
        <v>2.9398117065429688</v>
      </c>
      <c r="E74">
        <f t="shared" si="3"/>
        <v>0.53800010681151988</v>
      </c>
      <c r="F74" s="2">
        <v>1</v>
      </c>
      <c r="G74" s="2">
        <v>3</v>
      </c>
      <c r="H74">
        <v>217</v>
      </c>
    </row>
    <row r="75" spans="1:8" x14ac:dyDescent="0.25">
      <c r="A75" t="s">
        <v>76</v>
      </c>
      <c r="B75">
        <v>31</v>
      </c>
      <c r="C75">
        <v>28.598188400268551</v>
      </c>
      <c r="D75">
        <f t="shared" si="2"/>
        <v>2.4018115997314489</v>
      </c>
      <c r="E75" t="str">
        <f t="shared" si="3"/>
        <v/>
      </c>
      <c r="F75" s="2">
        <v>1</v>
      </c>
      <c r="G75" s="2">
        <v>3</v>
      </c>
      <c r="H75">
        <v>217</v>
      </c>
    </row>
    <row r="76" spans="1:8" x14ac:dyDescent="0.25">
      <c r="A76" t="s">
        <v>77</v>
      </c>
      <c r="B76">
        <v>31</v>
      </c>
      <c r="C76">
        <v>28.597957611083981</v>
      </c>
      <c r="D76">
        <f t="shared" si="2"/>
        <v>2.4020423889160192</v>
      </c>
      <c r="E76">
        <f t="shared" si="3"/>
        <v>0.18897247314453836</v>
      </c>
      <c r="F76" s="2">
        <v>1</v>
      </c>
      <c r="G76" s="2">
        <v>3</v>
      </c>
      <c r="H76">
        <v>218</v>
      </c>
    </row>
    <row r="77" spans="1:8" x14ac:dyDescent="0.25">
      <c r="A77" t="s">
        <v>78</v>
      </c>
      <c r="B77">
        <v>31</v>
      </c>
      <c r="C77">
        <v>28.786930084228519</v>
      </c>
      <c r="D77">
        <f t="shared" si="2"/>
        <v>2.2130699157714808</v>
      </c>
      <c r="E77" t="str">
        <f t="shared" si="3"/>
        <v/>
      </c>
      <c r="F77" s="2">
        <v>1</v>
      </c>
      <c r="G77" s="2">
        <v>3</v>
      </c>
      <c r="H77">
        <v>218</v>
      </c>
    </row>
    <row r="78" spans="1:8" x14ac:dyDescent="0.25">
      <c r="A78" t="s">
        <v>79</v>
      </c>
      <c r="B78">
        <v>31</v>
      </c>
      <c r="C78">
        <v>29.45955657958984</v>
      </c>
      <c r="D78">
        <f t="shared" si="2"/>
        <v>1.5404434204101598</v>
      </c>
      <c r="E78">
        <f t="shared" si="3"/>
        <v>0.90445518493653054</v>
      </c>
      <c r="F78" s="2">
        <v>1</v>
      </c>
      <c r="G78" s="2">
        <v>3</v>
      </c>
      <c r="H78">
        <v>219</v>
      </c>
    </row>
    <row r="79" spans="1:8" x14ac:dyDescent="0.25">
      <c r="A79" t="s">
        <v>80</v>
      </c>
      <c r="B79">
        <v>31</v>
      </c>
      <c r="C79">
        <v>30.364011764526371</v>
      </c>
      <c r="D79">
        <f t="shared" si="2"/>
        <v>0.63598823547362926</v>
      </c>
      <c r="E79" t="str">
        <f t="shared" si="3"/>
        <v/>
      </c>
      <c r="F79" s="2">
        <v>1</v>
      </c>
      <c r="G79" s="2">
        <v>3</v>
      </c>
      <c r="H79">
        <v>219</v>
      </c>
    </row>
    <row r="80" spans="1:8" x14ac:dyDescent="0.25">
      <c r="A80" t="s">
        <v>81</v>
      </c>
      <c r="B80">
        <v>31</v>
      </c>
      <c r="C80">
        <v>29.590848922729489</v>
      </c>
      <c r="D80">
        <f t="shared" si="2"/>
        <v>1.4091510772705114</v>
      </c>
      <c r="E80">
        <f t="shared" si="3"/>
        <v>1.0919570922851563E-2</v>
      </c>
      <c r="F80" s="2">
        <v>1</v>
      </c>
      <c r="G80" s="2">
        <v>3</v>
      </c>
      <c r="H80">
        <v>220</v>
      </c>
    </row>
    <row r="81" spans="1:8" x14ac:dyDescent="0.25">
      <c r="A81" t="s">
        <v>82</v>
      </c>
      <c r="B81">
        <v>31</v>
      </c>
      <c r="C81">
        <v>29.60176849365234</v>
      </c>
      <c r="D81">
        <f t="shared" si="2"/>
        <v>1.3982315063476598</v>
      </c>
      <c r="E81" t="str">
        <f t="shared" si="3"/>
        <v/>
      </c>
      <c r="F81" s="2">
        <v>1</v>
      </c>
      <c r="G81" s="2">
        <v>3</v>
      </c>
      <c r="H81">
        <v>220</v>
      </c>
    </row>
    <row r="82" spans="1:8" x14ac:dyDescent="0.25">
      <c r="A82" t="s">
        <v>83</v>
      </c>
      <c r="B82">
        <v>30</v>
      </c>
      <c r="C82">
        <v>26.58005332946777</v>
      </c>
      <c r="D82">
        <f t="shared" si="2"/>
        <v>3.4199466705322301</v>
      </c>
      <c r="E82">
        <f t="shared" si="3"/>
        <v>0.40261268615723012</v>
      </c>
      <c r="F82" s="2">
        <v>2</v>
      </c>
      <c r="G82" s="2">
        <v>3</v>
      </c>
      <c r="H82">
        <v>301</v>
      </c>
    </row>
    <row r="83" spans="1:8" x14ac:dyDescent="0.25">
      <c r="A83" t="s">
        <v>84</v>
      </c>
      <c r="B83">
        <v>30</v>
      </c>
      <c r="C83">
        <v>26.982666015625</v>
      </c>
      <c r="D83">
        <f t="shared" si="2"/>
        <v>3.017333984375</v>
      </c>
      <c r="E83" t="str">
        <f t="shared" si="3"/>
        <v/>
      </c>
      <c r="F83" s="2">
        <v>2</v>
      </c>
      <c r="G83" s="2">
        <v>3</v>
      </c>
      <c r="H83">
        <v>301</v>
      </c>
    </row>
    <row r="84" spans="1:8" x14ac:dyDescent="0.25">
      <c r="A84" t="s">
        <v>85</v>
      </c>
      <c r="B84">
        <v>30</v>
      </c>
      <c r="C84">
        <v>27.932538986206051</v>
      </c>
      <c r="D84">
        <f t="shared" si="2"/>
        <v>2.0674610137939489</v>
      </c>
      <c r="E84">
        <f t="shared" si="3"/>
        <v>0.14202880859375</v>
      </c>
      <c r="F84" s="2">
        <v>2</v>
      </c>
      <c r="G84" s="2">
        <v>3</v>
      </c>
      <c r="H84">
        <v>302</v>
      </c>
    </row>
    <row r="85" spans="1:8" x14ac:dyDescent="0.25">
      <c r="A85" t="s">
        <v>86</v>
      </c>
      <c r="B85">
        <v>30</v>
      </c>
      <c r="C85">
        <v>28.074567794799801</v>
      </c>
      <c r="D85">
        <f t="shared" si="2"/>
        <v>1.9254322052001989</v>
      </c>
      <c r="E85" t="str">
        <f t="shared" si="3"/>
        <v/>
      </c>
      <c r="F85" s="2">
        <v>2</v>
      </c>
      <c r="G85" s="2">
        <v>3</v>
      </c>
      <c r="H85">
        <v>302</v>
      </c>
    </row>
    <row r="86" spans="1:8" x14ac:dyDescent="0.25">
      <c r="A86" t="s">
        <v>87</v>
      </c>
      <c r="B86">
        <v>30</v>
      </c>
      <c r="C86">
        <v>27.06141471862793</v>
      </c>
      <c r="D86">
        <f t="shared" si="2"/>
        <v>2.9385852813720703</v>
      </c>
      <c r="E86">
        <f t="shared" si="3"/>
        <v>0.36798477172851918</v>
      </c>
      <c r="F86" s="2">
        <v>2</v>
      </c>
      <c r="G86" s="2">
        <v>3</v>
      </c>
      <c r="H86">
        <v>303</v>
      </c>
    </row>
    <row r="87" spans="1:8" x14ac:dyDescent="0.25">
      <c r="A87" t="s">
        <v>88</v>
      </c>
      <c r="B87">
        <v>30</v>
      </c>
      <c r="C87">
        <v>27.429399490356449</v>
      </c>
      <c r="D87">
        <f t="shared" si="2"/>
        <v>2.5706005096435511</v>
      </c>
      <c r="E87" t="str">
        <f t="shared" si="3"/>
        <v/>
      </c>
      <c r="F87" s="2">
        <v>2</v>
      </c>
      <c r="G87" s="2">
        <v>3</v>
      </c>
      <c r="H87">
        <v>303</v>
      </c>
    </row>
    <row r="88" spans="1:8" x14ac:dyDescent="0.25">
      <c r="A88" t="s">
        <v>89</v>
      </c>
      <c r="B88">
        <v>30</v>
      </c>
      <c r="C88">
        <v>27.352811813354489</v>
      </c>
      <c r="D88">
        <f t="shared" si="2"/>
        <v>2.6471881866455114</v>
      </c>
      <c r="E88">
        <f t="shared" si="3"/>
        <v>0.57192611694336293</v>
      </c>
      <c r="F88" s="2">
        <v>2</v>
      </c>
      <c r="G88" s="2">
        <v>3</v>
      </c>
      <c r="H88">
        <v>304</v>
      </c>
    </row>
    <row r="89" spans="1:8" x14ac:dyDescent="0.25">
      <c r="A89" t="s">
        <v>90</v>
      </c>
      <c r="B89">
        <v>30</v>
      </c>
      <c r="C89">
        <v>27.924737930297852</v>
      </c>
      <c r="D89">
        <f t="shared" si="2"/>
        <v>2.0752620697021484</v>
      </c>
      <c r="E89" t="str">
        <f t="shared" si="3"/>
        <v/>
      </c>
      <c r="F89" s="2">
        <v>2</v>
      </c>
      <c r="G89" s="2">
        <v>3</v>
      </c>
      <c r="H89">
        <v>304</v>
      </c>
    </row>
    <row r="90" spans="1:8" x14ac:dyDescent="0.25">
      <c r="A90" t="s">
        <v>91</v>
      </c>
      <c r="B90">
        <v>30</v>
      </c>
      <c r="C90">
        <v>27.126192092895511</v>
      </c>
      <c r="D90">
        <f t="shared" si="2"/>
        <v>2.8738079071044886</v>
      </c>
      <c r="E90">
        <f t="shared" si="3"/>
        <v>0.64167785644530895</v>
      </c>
      <c r="F90" s="2">
        <v>2</v>
      </c>
      <c r="G90" s="2">
        <v>3</v>
      </c>
      <c r="H90">
        <v>305</v>
      </c>
    </row>
    <row r="91" spans="1:8" x14ac:dyDescent="0.25">
      <c r="A91" t="s">
        <v>92</v>
      </c>
      <c r="B91">
        <v>30</v>
      </c>
      <c r="C91">
        <v>27.76786994934082</v>
      </c>
      <c r="D91">
        <f t="shared" si="2"/>
        <v>2.2321300506591797</v>
      </c>
      <c r="E91" t="str">
        <f t="shared" si="3"/>
        <v/>
      </c>
      <c r="F91" s="2">
        <v>2</v>
      </c>
      <c r="G91" s="2">
        <v>3</v>
      </c>
      <c r="H91">
        <v>305</v>
      </c>
    </row>
    <row r="92" spans="1:8" x14ac:dyDescent="0.25">
      <c r="A92" t="s">
        <v>93</v>
      </c>
      <c r="B92">
        <v>30</v>
      </c>
      <c r="C92">
        <v>27.55373382568359</v>
      </c>
      <c r="D92">
        <f t="shared" si="2"/>
        <v>2.4462661743164098</v>
      </c>
      <c r="E92">
        <f t="shared" si="3"/>
        <v>0.47719573974610086</v>
      </c>
      <c r="F92" s="2">
        <v>2</v>
      </c>
      <c r="G92" s="2">
        <v>3</v>
      </c>
      <c r="H92">
        <v>306</v>
      </c>
    </row>
    <row r="93" spans="1:8" x14ac:dyDescent="0.25">
      <c r="A93" t="s">
        <v>94</v>
      </c>
      <c r="B93">
        <v>30</v>
      </c>
      <c r="C93">
        <v>28.030929565429691</v>
      </c>
      <c r="D93">
        <f t="shared" si="2"/>
        <v>1.9690704345703089</v>
      </c>
      <c r="E93" t="str">
        <f t="shared" si="3"/>
        <v/>
      </c>
      <c r="F93" s="2">
        <v>2</v>
      </c>
      <c r="G93" s="2">
        <v>3</v>
      </c>
      <c r="H93">
        <v>306</v>
      </c>
    </row>
    <row r="94" spans="1:8" x14ac:dyDescent="0.25">
      <c r="A94" t="s">
        <v>95</v>
      </c>
      <c r="B94">
        <v>30</v>
      </c>
      <c r="C94">
        <v>27.26152229309082</v>
      </c>
      <c r="D94">
        <f t="shared" si="2"/>
        <v>2.7384777069091797</v>
      </c>
      <c r="E94">
        <f t="shared" si="3"/>
        <v>1.5218334197998011</v>
      </c>
      <c r="F94" s="2">
        <v>2</v>
      </c>
      <c r="G94" s="2">
        <v>3</v>
      </c>
      <c r="H94">
        <v>307</v>
      </c>
    </row>
    <row r="95" spans="1:8" x14ac:dyDescent="0.25">
      <c r="A95" t="s">
        <v>96</v>
      </c>
      <c r="B95">
        <v>30</v>
      </c>
      <c r="C95">
        <v>28.783355712890621</v>
      </c>
      <c r="D95">
        <f t="shared" si="2"/>
        <v>1.2166442871093786</v>
      </c>
      <c r="E95" t="str">
        <f t="shared" si="3"/>
        <v/>
      </c>
      <c r="F95" s="2">
        <v>2</v>
      </c>
      <c r="G95" s="2">
        <v>3</v>
      </c>
      <c r="H95">
        <v>307</v>
      </c>
    </row>
    <row r="96" spans="1:8" x14ac:dyDescent="0.25">
      <c r="A96" t="s">
        <v>97</v>
      </c>
      <c r="B96">
        <v>30</v>
      </c>
      <c r="C96">
        <v>28.433193206787109</v>
      </c>
      <c r="D96">
        <f t="shared" si="2"/>
        <v>1.5668067932128906</v>
      </c>
      <c r="E96">
        <f t="shared" si="3"/>
        <v>1.0898876190185582</v>
      </c>
      <c r="F96" s="2">
        <v>2</v>
      </c>
      <c r="G96" s="2">
        <v>3</v>
      </c>
      <c r="H96">
        <v>308</v>
      </c>
    </row>
    <row r="97" spans="1:8" x14ac:dyDescent="0.25">
      <c r="A97" t="s">
        <v>98</v>
      </c>
      <c r="B97">
        <v>30</v>
      </c>
      <c r="C97">
        <v>27.343305587768551</v>
      </c>
      <c r="D97">
        <f t="shared" si="2"/>
        <v>2.6566944122314489</v>
      </c>
      <c r="E97" t="str">
        <f t="shared" si="3"/>
        <v/>
      </c>
      <c r="F97" s="2">
        <v>2</v>
      </c>
      <c r="G97" s="2">
        <v>3</v>
      </c>
      <c r="H97">
        <v>308</v>
      </c>
    </row>
    <row r="98" spans="1:8" x14ac:dyDescent="0.25">
      <c r="A98" t="s">
        <v>99</v>
      </c>
      <c r="B98">
        <v>30</v>
      </c>
      <c r="C98">
        <v>27.507402420043949</v>
      </c>
      <c r="D98">
        <f t="shared" si="2"/>
        <v>2.4925975799560511</v>
      </c>
      <c r="E98">
        <f t="shared" si="3"/>
        <v>0.25200653076171875</v>
      </c>
      <c r="F98" s="2">
        <v>2</v>
      </c>
      <c r="G98" s="2">
        <v>3</v>
      </c>
      <c r="H98">
        <v>309</v>
      </c>
    </row>
    <row r="99" spans="1:8" x14ac:dyDescent="0.25">
      <c r="A99" t="s">
        <v>100</v>
      </c>
      <c r="B99">
        <v>30</v>
      </c>
      <c r="C99">
        <v>27.25539588928223</v>
      </c>
      <c r="D99">
        <f t="shared" si="2"/>
        <v>2.7446041107177699</v>
      </c>
      <c r="E99" t="str">
        <f t="shared" si="3"/>
        <v/>
      </c>
      <c r="F99" s="2">
        <v>2</v>
      </c>
      <c r="G99" s="2">
        <v>3</v>
      </c>
      <c r="H99">
        <v>309</v>
      </c>
    </row>
    <row r="100" spans="1:8" x14ac:dyDescent="0.25">
      <c r="A100" t="s">
        <v>101</v>
      </c>
      <c r="B100">
        <v>30</v>
      </c>
      <c r="C100">
        <v>27.755279541015621</v>
      </c>
      <c r="D100">
        <f t="shared" si="2"/>
        <v>2.2447204589843786</v>
      </c>
      <c r="E100">
        <f t="shared" si="3"/>
        <v>0.62230873107910156</v>
      </c>
      <c r="F100" s="2">
        <v>2</v>
      </c>
      <c r="G100" s="2">
        <v>3</v>
      </c>
      <c r="H100">
        <v>310</v>
      </c>
    </row>
    <row r="101" spans="1:8" x14ac:dyDescent="0.25">
      <c r="A101" t="s">
        <v>102</v>
      </c>
      <c r="B101">
        <v>30</v>
      </c>
      <c r="C101">
        <v>27.13297080993652</v>
      </c>
      <c r="D101">
        <f t="shared" si="2"/>
        <v>2.8670291900634801</v>
      </c>
      <c r="E101" t="str">
        <f t="shared" si="3"/>
        <v/>
      </c>
      <c r="F101" s="2">
        <v>2</v>
      </c>
      <c r="G101" s="2">
        <v>3</v>
      </c>
      <c r="H101">
        <v>310</v>
      </c>
    </row>
    <row r="102" spans="1:8" x14ac:dyDescent="0.25">
      <c r="A102" t="s">
        <v>103</v>
      </c>
      <c r="B102">
        <v>30</v>
      </c>
      <c r="C102">
        <v>28.116340637207031</v>
      </c>
      <c r="D102">
        <f t="shared" si="2"/>
        <v>1.8836593627929688</v>
      </c>
      <c r="E102">
        <f t="shared" si="3"/>
        <v>1.0830459594726527</v>
      </c>
      <c r="F102" s="2">
        <v>2</v>
      </c>
      <c r="G102" s="2">
        <v>3</v>
      </c>
      <c r="H102">
        <v>311</v>
      </c>
    </row>
    <row r="103" spans="1:8" x14ac:dyDescent="0.25">
      <c r="A103" t="s">
        <v>104</v>
      </c>
      <c r="B103">
        <v>30</v>
      </c>
      <c r="C103">
        <v>27.033294677734379</v>
      </c>
      <c r="D103">
        <f t="shared" si="2"/>
        <v>2.9667053222656214</v>
      </c>
      <c r="E103" t="str">
        <f t="shared" si="3"/>
        <v/>
      </c>
      <c r="F103" s="2">
        <v>2</v>
      </c>
      <c r="G103" s="2">
        <v>3</v>
      </c>
      <c r="H103">
        <v>311</v>
      </c>
    </row>
    <row r="104" spans="1:8" x14ac:dyDescent="0.25">
      <c r="A104" t="s">
        <v>105</v>
      </c>
      <c r="B104">
        <v>30</v>
      </c>
      <c r="C104">
        <v>28.28837776184082</v>
      </c>
      <c r="D104">
        <f t="shared" si="2"/>
        <v>1.7116222381591797</v>
      </c>
      <c r="E104">
        <f t="shared" si="3"/>
        <v>0.87889671325683949</v>
      </c>
      <c r="F104" s="2">
        <v>2</v>
      </c>
      <c r="G104" s="2">
        <v>3</v>
      </c>
      <c r="H104">
        <v>312</v>
      </c>
    </row>
    <row r="105" spans="1:8" x14ac:dyDescent="0.25">
      <c r="A105" t="s">
        <v>106</v>
      </c>
      <c r="B105">
        <v>30</v>
      </c>
      <c r="C105">
        <v>27.409481048583981</v>
      </c>
      <c r="D105">
        <f t="shared" si="2"/>
        <v>2.5905189514160192</v>
      </c>
      <c r="E105" t="str">
        <f t="shared" si="3"/>
        <v/>
      </c>
      <c r="F105" s="2">
        <v>2</v>
      </c>
      <c r="G105" s="2">
        <v>3</v>
      </c>
      <c r="H105">
        <v>312</v>
      </c>
    </row>
    <row r="106" spans="1:8" x14ac:dyDescent="0.25">
      <c r="A106" t="s">
        <v>107</v>
      </c>
      <c r="B106">
        <v>30</v>
      </c>
      <c r="C106">
        <v>27.143035888671879</v>
      </c>
      <c r="D106">
        <f t="shared" si="2"/>
        <v>2.8569641113281214</v>
      </c>
      <c r="E106">
        <f t="shared" si="3"/>
        <v>0.22635459899901988</v>
      </c>
      <c r="F106" s="2">
        <v>2</v>
      </c>
      <c r="G106" s="2">
        <v>3</v>
      </c>
      <c r="H106">
        <v>313</v>
      </c>
    </row>
    <row r="107" spans="1:8" x14ac:dyDescent="0.25">
      <c r="A107" t="s">
        <v>108</v>
      </c>
      <c r="B107">
        <v>30</v>
      </c>
      <c r="C107">
        <v>27.369390487670898</v>
      </c>
      <c r="D107">
        <f t="shared" si="2"/>
        <v>2.6306095123291016</v>
      </c>
      <c r="E107" t="str">
        <f t="shared" si="3"/>
        <v/>
      </c>
      <c r="F107" s="2">
        <v>2</v>
      </c>
      <c r="G107" s="2">
        <v>3</v>
      </c>
      <c r="H107">
        <v>313</v>
      </c>
    </row>
    <row r="108" spans="1:8" x14ac:dyDescent="0.25">
      <c r="A108" t="s">
        <v>109</v>
      </c>
      <c r="B108">
        <v>30</v>
      </c>
      <c r="C108">
        <v>28.62291145324707</v>
      </c>
      <c r="D108">
        <f t="shared" si="2"/>
        <v>1.3770885467529297</v>
      </c>
      <c r="E108">
        <f t="shared" si="3"/>
        <v>1.3897495269775391</v>
      </c>
      <c r="F108" s="2">
        <v>2</v>
      </c>
      <c r="G108" s="2">
        <v>3</v>
      </c>
      <c r="H108">
        <v>314</v>
      </c>
    </row>
    <row r="109" spans="1:8" x14ac:dyDescent="0.25">
      <c r="A109" t="s">
        <v>110</v>
      </c>
      <c r="B109">
        <v>30</v>
      </c>
      <c r="C109">
        <v>27.233161926269531</v>
      </c>
      <c r="D109">
        <f t="shared" si="2"/>
        <v>2.7668380737304688</v>
      </c>
      <c r="E109" t="str">
        <f t="shared" si="3"/>
        <v/>
      </c>
      <c r="F109" s="2">
        <v>2</v>
      </c>
      <c r="G109" s="2">
        <v>3</v>
      </c>
      <c r="H109">
        <v>314</v>
      </c>
    </row>
    <row r="110" spans="1:8" x14ac:dyDescent="0.25">
      <c r="A110" t="s">
        <v>111</v>
      </c>
      <c r="B110">
        <v>30</v>
      </c>
      <c r="C110">
        <v>27.770687103271481</v>
      </c>
      <c r="D110">
        <f t="shared" si="2"/>
        <v>2.2293128967285192</v>
      </c>
      <c r="E110">
        <f t="shared" si="3"/>
        <v>4.6625137329108668E-2</v>
      </c>
      <c r="F110" s="2">
        <v>2</v>
      </c>
      <c r="G110" s="2">
        <v>3</v>
      </c>
      <c r="H110">
        <v>315</v>
      </c>
    </row>
    <row r="111" spans="1:8" x14ac:dyDescent="0.25">
      <c r="A111" t="s">
        <v>112</v>
      </c>
      <c r="B111">
        <v>30</v>
      </c>
      <c r="C111">
        <v>27.817312240600589</v>
      </c>
      <c r="D111">
        <f t="shared" si="2"/>
        <v>2.1826877593994105</v>
      </c>
      <c r="E111" t="str">
        <f t="shared" si="3"/>
        <v/>
      </c>
      <c r="F111" s="2">
        <v>2</v>
      </c>
      <c r="G111" s="2">
        <v>3</v>
      </c>
      <c r="H111">
        <v>315</v>
      </c>
    </row>
    <row r="112" spans="1:8" x14ac:dyDescent="0.25">
      <c r="A112" t="s">
        <v>113</v>
      </c>
      <c r="B112">
        <v>30</v>
      </c>
      <c r="C112">
        <v>27.60214805603027</v>
      </c>
      <c r="D112">
        <f t="shared" si="2"/>
        <v>2.3978519439697301</v>
      </c>
      <c r="E112">
        <f t="shared" si="3"/>
        <v>2.1936416625969457E-2</v>
      </c>
      <c r="F112" s="2">
        <v>2</v>
      </c>
      <c r="G112" s="2">
        <v>3</v>
      </c>
      <c r="H112">
        <v>316</v>
      </c>
    </row>
    <row r="113" spans="1:8" x14ac:dyDescent="0.25">
      <c r="A113" t="s">
        <v>114</v>
      </c>
      <c r="B113">
        <v>30</v>
      </c>
      <c r="C113">
        <v>27.5802116394043</v>
      </c>
      <c r="D113">
        <f t="shared" si="2"/>
        <v>2.4197883605956996</v>
      </c>
      <c r="E113" t="str">
        <f t="shared" si="3"/>
        <v/>
      </c>
      <c r="F113" s="2">
        <v>2</v>
      </c>
      <c r="G113" s="2">
        <v>3</v>
      </c>
      <c r="H113">
        <v>316</v>
      </c>
    </row>
    <row r="114" spans="1:8" x14ac:dyDescent="0.25">
      <c r="A114" t="s">
        <v>115</v>
      </c>
      <c r="B114">
        <v>30</v>
      </c>
      <c r="C114">
        <v>27.895486831665039</v>
      </c>
      <c r="D114">
        <f t="shared" si="2"/>
        <v>2.1045131683349609</v>
      </c>
      <c r="E114">
        <f t="shared" si="3"/>
        <v>0.11104965209960938</v>
      </c>
      <c r="F114" s="2">
        <v>2</v>
      </c>
      <c r="G114" s="2">
        <v>3</v>
      </c>
      <c r="H114">
        <v>317</v>
      </c>
    </row>
    <row r="115" spans="1:8" x14ac:dyDescent="0.25">
      <c r="A115" t="s">
        <v>116</v>
      </c>
      <c r="B115">
        <v>30</v>
      </c>
      <c r="C115">
        <v>27.78443717956543</v>
      </c>
      <c r="D115">
        <f t="shared" si="2"/>
        <v>2.2155628204345703</v>
      </c>
      <c r="E115" t="str">
        <f t="shared" si="3"/>
        <v/>
      </c>
      <c r="F115" s="2">
        <v>2</v>
      </c>
      <c r="G115" s="2">
        <v>3</v>
      </c>
      <c r="H115">
        <v>317</v>
      </c>
    </row>
    <row r="116" spans="1:8" x14ac:dyDescent="0.25">
      <c r="A116" t="s">
        <v>117</v>
      </c>
      <c r="B116">
        <v>30</v>
      </c>
      <c r="C116">
        <v>27.75539398193359</v>
      </c>
      <c r="D116">
        <f t="shared" si="2"/>
        <v>2.2446060180664098</v>
      </c>
      <c r="E116">
        <f t="shared" si="3"/>
        <v>0.62588310241698863</v>
      </c>
      <c r="F116" s="2">
        <v>2</v>
      </c>
      <c r="G116" s="2">
        <v>3</v>
      </c>
      <c r="H116">
        <v>318</v>
      </c>
    </row>
    <row r="117" spans="1:8" x14ac:dyDescent="0.25">
      <c r="A117" t="s">
        <v>118</v>
      </c>
      <c r="B117">
        <v>30</v>
      </c>
      <c r="C117">
        <v>27.129510879516602</v>
      </c>
      <c r="D117">
        <f t="shared" si="2"/>
        <v>2.8704891204833984</v>
      </c>
      <c r="E117" t="str">
        <f t="shared" si="3"/>
        <v/>
      </c>
      <c r="F117" s="2">
        <v>2</v>
      </c>
      <c r="G117" s="2">
        <v>3</v>
      </c>
      <c r="H117">
        <v>318</v>
      </c>
    </row>
    <row r="118" spans="1:8" x14ac:dyDescent="0.25">
      <c r="A118" t="s">
        <v>119</v>
      </c>
      <c r="B118">
        <v>30</v>
      </c>
      <c r="C118">
        <v>27.985517501831051</v>
      </c>
      <c r="D118">
        <f t="shared" si="2"/>
        <v>2.0144824981689489</v>
      </c>
      <c r="E118">
        <f t="shared" si="3"/>
        <v>0.19054222106933949</v>
      </c>
      <c r="F118" s="2">
        <v>2</v>
      </c>
      <c r="G118" s="2">
        <v>3</v>
      </c>
      <c r="H118">
        <v>319</v>
      </c>
    </row>
    <row r="119" spans="1:8" x14ac:dyDescent="0.25">
      <c r="A119" t="s">
        <v>120</v>
      </c>
      <c r="B119">
        <v>30</v>
      </c>
      <c r="C119">
        <v>28.176059722900391</v>
      </c>
      <c r="D119">
        <f t="shared" si="2"/>
        <v>1.8239402770996094</v>
      </c>
      <c r="E119" t="str">
        <f t="shared" si="3"/>
        <v/>
      </c>
      <c r="F119" s="2">
        <v>2</v>
      </c>
      <c r="G119" s="2">
        <v>3</v>
      </c>
      <c r="H119">
        <v>319</v>
      </c>
    </row>
    <row r="120" spans="1:8" x14ac:dyDescent="0.25">
      <c r="A120" t="s">
        <v>121</v>
      </c>
      <c r="B120">
        <v>30</v>
      </c>
      <c r="C120">
        <v>27.337518692016602</v>
      </c>
      <c r="D120">
        <f t="shared" si="2"/>
        <v>2.6624813079833984</v>
      </c>
      <c r="E120">
        <f t="shared" si="3"/>
        <v>0.42156982421875</v>
      </c>
      <c r="F120" s="2">
        <v>2</v>
      </c>
      <c r="G120" s="2">
        <v>3</v>
      </c>
      <c r="H120">
        <v>320</v>
      </c>
    </row>
    <row r="121" spans="1:8" x14ac:dyDescent="0.25">
      <c r="A121" t="s">
        <v>122</v>
      </c>
      <c r="B121">
        <v>30</v>
      </c>
      <c r="C121">
        <v>27.759088516235352</v>
      </c>
      <c r="D121">
        <f t="shared" si="2"/>
        <v>2.2409114837646484</v>
      </c>
      <c r="E121" t="str">
        <f t="shared" si="3"/>
        <v/>
      </c>
      <c r="F121" s="2">
        <v>2</v>
      </c>
      <c r="G121" s="2">
        <v>3</v>
      </c>
      <c r="H121">
        <v>320</v>
      </c>
    </row>
  </sheetData>
  <phoneticPr fontId="2" type="noConversion"/>
  <conditionalFormatting sqref="E2:E121">
    <cfRule type="cellIs" dxfId="10" priority="1" operator="between">
      <formula>1000</formula>
      <formula>6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21"/>
  <sheetViews>
    <sheetView topLeftCell="A97" workbookViewId="0">
      <selection activeCell="D122" sqref="D122"/>
    </sheetView>
  </sheetViews>
  <sheetFormatPr defaultRowHeight="15.75" x14ac:dyDescent="0.25"/>
  <cols>
    <col min="1" max="1" width="14" bestFit="1" customWidth="1"/>
    <col min="2" max="2" width="10.5703125" bestFit="1" customWidth="1"/>
    <col min="3" max="3" width="15.5703125" bestFit="1" customWidth="1"/>
    <col min="4" max="5" width="13" bestFit="1" customWidth="1"/>
    <col min="6" max="6" width="27.140625" bestFit="1" customWidth="1"/>
    <col min="8" max="8" width="5.42578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205</v>
      </c>
      <c r="E1" s="1" t="s">
        <v>206</v>
      </c>
      <c r="F1" s="1" t="s">
        <v>230</v>
      </c>
      <c r="G1" s="1" t="s">
        <v>231</v>
      </c>
      <c r="H1" s="1" t="s">
        <v>209</v>
      </c>
    </row>
    <row r="2" spans="1:8" ht="16.5" x14ac:dyDescent="0.25">
      <c r="A2" t="s">
        <v>3</v>
      </c>
      <c r="B2">
        <v>26</v>
      </c>
      <c r="C2">
        <v>37.306632995605469</v>
      </c>
      <c r="D2">
        <f>ABS(C2-B2)</f>
        <v>11.306632995605469</v>
      </c>
      <c r="E2">
        <f>IF(MOD(ROW(),2)=0,ABS(C2-C3),"")</f>
        <v>0.16477203369141336</v>
      </c>
      <c r="F2" s="3">
        <v>1</v>
      </c>
      <c r="G2" s="2">
        <v>3</v>
      </c>
      <c r="H2">
        <v>101</v>
      </c>
    </row>
    <row r="3" spans="1:8" x14ac:dyDescent="0.25">
      <c r="A3" t="s">
        <v>4</v>
      </c>
      <c r="B3">
        <v>26</v>
      </c>
      <c r="C3">
        <v>37.471405029296882</v>
      </c>
      <c r="D3">
        <f t="shared" ref="D3:D66" si="0">ABS(C3-B3)</f>
        <v>11.471405029296882</v>
      </c>
      <c r="E3" t="str">
        <f t="shared" ref="E3:E66" si="1">IF(MOD(ROW(),2)=0,ABS(C3-C4),"")</f>
        <v/>
      </c>
      <c r="F3" s="2">
        <v>1</v>
      </c>
      <c r="G3" s="2">
        <v>3</v>
      </c>
      <c r="H3">
        <v>101</v>
      </c>
    </row>
    <row r="4" spans="1:8" x14ac:dyDescent="0.25">
      <c r="A4" t="s">
        <v>5</v>
      </c>
      <c r="B4">
        <v>26</v>
      </c>
      <c r="C4">
        <v>36.450714111328118</v>
      </c>
      <c r="D4">
        <f t="shared" si="0"/>
        <v>10.450714111328118</v>
      </c>
      <c r="E4">
        <f t="shared" si="1"/>
        <v>0.29880523681641336</v>
      </c>
      <c r="F4" s="2">
        <v>1</v>
      </c>
      <c r="G4" s="2">
        <v>3</v>
      </c>
      <c r="H4">
        <v>102</v>
      </c>
    </row>
    <row r="5" spans="1:8" x14ac:dyDescent="0.25">
      <c r="A5" t="s">
        <v>6</v>
      </c>
      <c r="B5">
        <v>26</v>
      </c>
      <c r="C5">
        <v>36.749519348144531</v>
      </c>
      <c r="D5">
        <f t="shared" si="0"/>
        <v>10.749519348144531</v>
      </c>
      <c r="E5" t="str">
        <f t="shared" si="1"/>
        <v/>
      </c>
      <c r="F5" s="2">
        <v>1</v>
      </c>
      <c r="G5" s="2">
        <v>3</v>
      </c>
      <c r="H5">
        <v>102</v>
      </c>
    </row>
    <row r="6" spans="1:8" x14ac:dyDescent="0.25">
      <c r="A6" t="s">
        <v>7</v>
      </c>
      <c r="B6">
        <v>26</v>
      </c>
      <c r="C6">
        <v>36.837898254394531</v>
      </c>
      <c r="D6">
        <f t="shared" si="0"/>
        <v>10.837898254394531</v>
      </c>
      <c r="E6">
        <f t="shared" si="1"/>
        <v>1.0583763122558594</v>
      </c>
      <c r="F6" s="2">
        <v>1</v>
      </c>
      <c r="G6" s="2">
        <v>3</v>
      </c>
      <c r="H6">
        <v>103</v>
      </c>
    </row>
    <row r="7" spans="1:8" x14ac:dyDescent="0.25">
      <c r="A7" t="s">
        <v>8</v>
      </c>
      <c r="B7">
        <v>26</v>
      </c>
      <c r="C7">
        <v>37.896274566650391</v>
      </c>
      <c r="D7">
        <f t="shared" si="0"/>
        <v>11.896274566650391</v>
      </c>
      <c r="E7" t="str">
        <f t="shared" si="1"/>
        <v/>
      </c>
      <c r="F7" s="2">
        <v>1</v>
      </c>
      <c r="G7" s="2">
        <v>3</v>
      </c>
      <c r="H7">
        <v>103</v>
      </c>
    </row>
    <row r="8" spans="1:8" x14ac:dyDescent="0.25">
      <c r="A8" t="s">
        <v>9</v>
      </c>
      <c r="B8">
        <v>26</v>
      </c>
      <c r="C8">
        <v>36.249385833740227</v>
      </c>
      <c r="D8">
        <f t="shared" si="0"/>
        <v>10.249385833740227</v>
      </c>
      <c r="E8">
        <f t="shared" si="1"/>
        <v>1.6758995056152415</v>
      </c>
      <c r="F8" s="2">
        <v>1</v>
      </c>
      <c r="G8" s="2">
        <v>3</v>
      </c>
      <c r="H8">
        <v>104</v>
      </c>
    </row>
    <row r="9" spans="1:8" x14ac:dyDescent="0.25">
      <c r="A9" t="s">
        <v>10</v>
      </c>
      <c r="B9">
        <v>26</v>
      </c>
      <c r="C9">
        <v>37.925285339355469</v>
      </c>
      <c r="D9">
        <f t="shared" si="0"/>
        <v>11.925285339355469</v>
      </c>
      <c r="E9" t="str">
        <f t="shared" si="1"/>
        <v/>
      </c>
      <c r="F9" s="2">
        <v>1</v>
      </c>
      <c r="G9" s="2">
        <v>3</v>
      </c>
      <c r="H9">
        <v>104</v>
      </c>
    </row>
    <row r="10" spans="1:8" x14ac:dyDescent="0.25">
      <c r="A10" t="s">
        <v>11</v>
      </c>
      <c r="B10">
        <v>26</v>
      </c>
      <c r="C10">
        <v>36.012001037597663</v>
      </c>
      <c r="D10">
        <f t="shared" si="0"/>
        <v>10.012001037597663</v>
      </c>
      <c r="E10">
        <f t="shared" si="1"/>
        <v>0.94254302978514914</v>
      </c>
      <c r="F10" s="2">
        <v>1</v>
      </c>
      <c r="G10" s="2">
        <v>3</v>
      </c>
      <c r="H10">
        <v>105</v>
      </c>
    </row>
    <row r="11" spans="1:8" x14ac:dyDescent="0.25">
      <c r="A11" t="s">
        <v>12</v>
      </c>
      <c r="B11">
        <v>26</v>
      </c>
      <c r="C11">
        <v>36.954544067382813</v>
      </c>
      <c r="D11">
        <f t="shared" si="0"/>
        <v>10.954544067382813</v>
      </c>
      <c r="E11" t="str">
        <f t="shared" si="1"/>
        <v/>
      </c>
      <c r="F11" s="2">
        <v>1</v>
      </c>
      <c r="G11" s="2">
        <v>3</v>
      </c>
      <c r="H11">
        <v>105</v>
      </c>
    </row>
    <row r="12" spans="1:8" x14ac:dyDescent="0.25">
      <c r="A12" t="s">
        <v>13</v>
      </c>
      <c r="B12">
        <v>26</v>
      </c>
      <c r="C12">
        <v>37.451202392578118</v>
      </c>
      <c r="D12">
        <f t="shared" si="0"/>
        <v>11.451202392578118</v>
      </c>
      <c r="E12">
        <f t="shared" si="1"/>
        <v>0.84920501708983664</v>
      </c>
      <c r="F12" s="2">
        <v>1</v>
      </c>
      <c r="G12" s="2">
        <v>3</v>
      </c>
      <c r="H12">
        <v>106</v>
      </c>
    </row>
    <row r="13" spans="1:8" x14ac:dyDescent="0.25">
      <c r="A13" t="s">
        <v>14</v>
      </c>
      <c r="B13">
        <v>26</v>
      </c>
      <c r="C13">
        <v>36.601997375488281</v>
      </c>
      <c r="D13">
        <f t="shared" si="0"/>
        <v>10.601997375488281</v>
      </c>
      <c r="E13" t="str">
        <f t="shared" si="1"/>
        <v/>
      </c>
      <c r="F13" s="2">
        <v>1</v>
      </c>
      <c r="G13" s="2">
        <v>3</v>
      </c>
      <c r="H13">
        <v>106</v>
      </c>
    </row>
    <row r="14" spans="1:8" x14ac:dyDescent="0.25">
      <c r="A14" t="s">
        <v>15</v>
      </c>
      <c r="B14">
        <v>26</v>
      </c>
      <c r="C14">
        <v>36.998561859130859</v>
      </c>
      <c r="D14">
        <f t="shared" si="0"/>
        <v>10.998561859130859</v>
      </c>
      <c r="E14">
        <f t="shared" si="1"/>
        <v>0.77706146240233664</v>
      </c>
      <c r="F14" s="2">
        <v>1</v>
      </c>
      <c r="G14" s="2">
        <v>3</v>
      </c>
      <c r="H14">
        <v>107</v>
      </c>
    </row>
    <row r="15" spans="1:8" x14ac:dyDescent="0.25">
      <c r="A15" t="s">
        <v>16</v>
      </c>
      <c r="B15">
        <v>26</v>
      </c>
      <c r="C15">
        <v>36.221500396728523</v>
      </c>
      <c r="D15">
        <f t="shared" si="0"/>
        <v>10.221500396728523</v>
      </c>
      <c r="E15" t="str">
        <f t="shared" si="1"/>
        <v/>
      </c>
      <c r="F15" s="2">
        <v>1</v>
      </c>
      <c r="G15" s="2">
        <v>3</v>
      </c>
      <c r="H15">
        <v>107</v>
      </c>
    </row>
    <row r="16" spans="1:8" x14ac:dyDescent="0.25">
      <c r="A16" t="s">
        <v>17</v>
      </c>
      <c r="B16">
        <v>26</v>
      </c>
      <c r="C16">
        <v>36.522598266601563</v>
      </c>
      <c r="D16">
        <f t="shared" si="0"/>
        <v>10.522598266601563</v>
      </c>
      <c r="E16">
        <f t="shared" si="1"/>
        <v>0.204345703125</v>
      </c>
      <c r="F16" s="2">
        <v>1</v>
      </c>
      <c r="G16" s="2">
        <v>3</v>
      </c>
      <c r="H16">
        <v>108</v>
      </c>
    </row>
    <row r="17" spans="1:8" x14ac:dyDescent="0.25">
      <c r="A17" t="s">
        <v>18</v>
      </c>
      <c r="B17">
        <v>26</v>
      </c>
      <c r="C17">
        <v>36.318252563476563</v>
      </c>
      <c r="D17">
        <f t="shared" si="0"/>
        <v>10.318252563476563</v>
      </c>
      <c r="E17" t="str">
        <f t="shared" si="1"/>
        <v/>
      </c>
      <c r="F17" s="2">
        <v>1</v>
      </c>
      <c r="G17" s="2">
        <v>3</v>
      </c>
      <c r="H17">
        <v>108</v>
      </c>
    </row>
    <row r="18" spans="1:8" x14ac:dyDescent="0.25">
      <c r="A18" t="s">
        <v>19</v>
      </c>
      <c r="B18">
        <v>26</v>
      </c>
      <c r="C18">
        <v>36.027488708496087</v>
      </c>
      <c r="D18">
        <f t="shared" si="0"/>
        <v>10.027488708496087</v>
      </c>
      <c r="E18">
        <f t="shared" si="1"/>
        <v>1.1444015502929759</v>
      </c>
      <c r="F18" s="2">
        <v>1</v>
      </c>
      <c r="G18" s="2">
        <v>3</v>
      </c>
      <c r="H18">
        <v>109</v>
      </c>
    </row>
    <row r="19" spans="1:8" x14ac:dyDescent="0.25">
      <c r="A19" t="s">
        <v>20</v>
      </c>
      <c r="B19">
        <v>26</v>
      </c>
      <c r="C19">
        <v>37.171890258789063</v>
      </c>
      <c r="D19">
        <f t="shared" si="0"/>
        <v>11.171890258789063</v>
      </c>
      <c r="E19" t="str">
        <f t="shared" si="1"/>
        <v/>
      </c>
      <c r="F19" s="2">
        <v>1</v>
      </c>
      <c r="G19" s="2">
        <v>3</v>
      </c>
      <c r="H19">
        <v>109</v>
      </c>
    </row>
    <row r="20" spans="1:8" x14ac:dyDescent="0.25">
      <c r="A20" t="s">
        <v>21</v>
      </c>
      <c r="B20">
        <v>26</v>
      </c>
      <c r="C20">
        <v>35.780113220214837</v>
      </c>
      <c r="D20">
        <f t="shared" si="0"/>
        <v>9.7801132202148366</v>
      </c>
      <c r="E20">
        <f t="shared" si="1"/>
        <v>2.2430343627929759</v>
      </c>
      <c r="F20" s="2">
        <v>1</v>
      </c>
      <c r="G20" s="2">
        <v>3</v>
      </c>
      <c r="H20">
        <v>110</v>
      </c>
    </row>
    <row r="21" spans="1:8" x14ac:dyDescent="0.25">
      <c r="A21" t="s">
        <v>22</v>
      </c>
      <c r="B21">
        <v>26</v>
      </c>
      <c r="C21">
        <v>38.023147583007813</v>
      </c>
      <c r="D21">
        <f t="shared" si="0"/>
        <v>12.023147583007813</v>
      </c>
      <c r="E21" t="str">
        <f t="shared" si="1"/>
        <v/>
      </c>
      <c r="F21" s="2">
        <v>1</v>
      </c>
      <c r="G21" s="2">
        <v>3</v>
      </c>
      <c r="H21">
        <v>110</v>
      </c>
    </row>
    <row r="22" spans="1:8" x14ac:dyDescent="0.25">
      <c r="A22" t="s">
        <v>23</v>
      </c>
      <c r="B22">
        <v>26</v>
      </c>
      <c r="C22">
        <v>37.347373962402337</v>
      </c>
      <c r="D22">
        <f t="shared" si="0"/>
        <v>11.347373962402337</v>
      </c>
      <c r="E22">
        <f t="shared" si="1"/>
        <v>8.9088439941399145E-2</v>
      </c>
      <c r="F22" s="2">
        <v>1</v>
      </c>
      <c r="G22" s="2">
        <v>3</v>
      </c>
      <c r="H22">
        <v>111</v>
      </c>
    </row>
    <row r="23" spans="1:8" x14ac:dyDescent="0.25">
      <c r="A23" t="s">
        <v>24</v>
      </c>
      <c r="B23">
        <v>26</v>
      </c>
      <c r="C23">
        <v>37.258285522460938</v>
      </c>
      <c r="D23">
        <f t="shared" si="0"/>
        <v>11.258285522460938</v>
      </c>
      <c r="E23" t="str">
        <f t="shared" si="1"/>
        <v/>
      </c>
      <c r="F23" s="2">
        <v>1</v>
      </c>
      <c r="G23" s="2">
        <v>3</v>
      </c>
      <c r="H23">
        <v>111</v>
      </c>
    </row>
    <row r="24" spans="1:8" x14ac:dyDescent="0.25">
      <c r="A24" t="s">
        <v>25</v>
      </c>
      <c r="B24">
        <v>26</v>
      </c>
      <c r="C24">
        <v>37.603302001953118</v>
      </c>
      <c r="D24">
        <f t="shared" si="0"/>
        <v>11.603302001953118</v>
      </c>
      <c r="E24">
        <f t="shared" si="1"/>
        <v>0.30861282348632102</v>
      </c>
      <c r="F24" s="2">
        <v>1</v>
      </c>
      <c r="G24" s="2">
        <v>3</v>
      </c>
      <c r="H24">
        <v>112</v>
      </c>
    </row>
    <row r="25" spans="1:8" x14ac:dyDescent="0.25">
      <c r="A25" t="s">
        <v>26</v>
      </c>
      <c r="B25">
        <v>26</v>
      </c>
      <c r="C25">
        <v>37.294689178466797</v>
      </c>
      <c r="D25">
        <f t="shared" si="0"/>
        <v>11.294689178466797</v>
      </c>
      <c r="E25" t="str">
        <f t="shared" si="1"/>
        <v/>
      </c>
      <c r="F25" s="2">
        <v>1</v>
      </c>
      <c r="G25" s="2">
        <v>3</v>
      </c>
      <c r="H25">
        <v>112</v>
      </c>
    </row>
    <row r="26" spans="1:8" x14ac:dyDescent="0.25">
      <c r="A26" t="s">
        <v>27</v>
      </c>
      <c r="B26">
        <v>26</v>
      </c>
      <c r="C26">
        <v>36.2476806640625</v>
      </c>
      <c r="D26">
        <f t="shared" si="0"/>
        <v>10.2476806640625</v>
      </c>
      <c r="E26">
        <f t="shared" si="1"/>
        <v>1.0245819091796875</v>
      </c>
      <c r="F26" s="2">
        <v>1</v>
      </c>
      <c r="G26" s="2">
        <v>3</v>
      </c>
      <c r="H26">
        <v>113</v>
      </c>
    </row>
    <row r="27" spans="1:8" x14ac:dyDescent="0.25">
      <c r="A27" t="s">
        <v>28</v>
      </c>
      <c r="B27">
        <v>26</v>
      </c>
      <c r="C27">
        <v>37.272262573242188</v>
      </c>
      <c r="D27">
        <f t="shared" si="0"/>
        <v>11.272262573242188</v>
      </c>
      <c r="E27" t="str">
        <f t="shared" si="1"/>
        <v/>
      </c>
      <c r="F27" s="2">
        <v>1</v>
      </c>
      <c r="G27" s="2">
        <v>3</v>
      </c>
      <c r="H27">
        <v>113</v>
      </c>
    </row>
    <row r="28" spans="1:8" x14ac:dyDescent="0.25">
      <c r="A28" t="s">
        <v>29</v>
      </c>
      <c r="B28">
        <v>26</v>
      </c>
      <c r="C28">
        <v>38.154754638671882</v>
      </c>
      <c r="D28">
        <f t="shared" si="0"/>
        <v>12.154754638671882</v>
      </c>
      <c r="E28">
        <f t="shared" si="1"/>
        <v>0.50418090820313211</v>
      </c>
      <c r="F28" s="2">
        <v>1</v>
      </c>
      <c r="G28" s="2">
        <v>3</v>
      </c>
      <c r="H28">
        <v>114</v>
      </c>
    </row>
    <row r="29" spans="1:8" x14ac:dyDescent="0.25">
      <c r="A29" t="s">
        <v>30</v>
      </c>
      <c r="B29">
        <v>26</v>
      </c>
      <c r="C29">
        <v>37.65057373046875</v>
      </c>
      <c r="D29">
        <f t="shared" si="0"/>
        <v>11.65057373046875</v>
      </c>
      <c r="E29" t="str">
        <f t="shared" si="1"/>
        <v/>
      </c>
      <c r="F29" s="2">
        <v>1</v>
      </c>
      <c r="G29" s="2">
        <v>3</v>
      </c>
      <c r="H29">
        <v>114</v>
      </c>
    </row>
    <row r="30" spans="1:8" x14ac:dyDescent="0.25">
      <c r="A30" t="s">
        <v>31</v>
      </c>
      <c r="B30">
        <v>26</v>
      </c>
      <c r="C30">
        <v>37.813488006591797</v>
      </c>
      <c r="D30">
        <f t="shared" si="0"/>
        <v>11.813488006591797</v>
      </c>
      <c r="E30">
        <f t="shared" si="1"/>
        <v>2.9449958801269602</v>
      </c>
      <c r="F30" s="2">
        <v>1</v>
      </c>
      <c r="G30" s="2">
        <v>3</v>
      </c>
      <c r="H30">
        <v>115</v>
      </c>
    </row>
    <row r="31" spans="1:8" x14ac:dyDescent="0.25">
      <c r="A31" t="s">
        <v>32</v>
      </c>
      <c r="B31">
        <v>26</v>
      </c>
      <c r="C31">
        <v>34.868492126464837</v>
      </c>
      <c r="D31">
        <f t="shared" si="0"/>
        <v>8.8684921264648366</v>
      </c>
      <c r="E31" t="str">
        <f t="shared" si="1"/>
        <v/>
      </c>
      <c r="F31" s="2">
        <v>1</v>
      </c>
      <c r="G31" s="2">
        <v>3</v>
      </c>
      <c r="H31">
        <v>115</v>
      </c>
    </row>
    <row r="32" spans="1:8" x14ac:dyDescent="0.25">
      <c r="A32" t="s">
        <v>33</v>
      </c>
      <c r="B32">
        <v>26</v>
      </c>
      <c r="C32">
        <v>37.152568817138672</v>
      </c>
      <c r="D32">
        <f t="shared" si="0"/>
        <v>11.152568817138672</v>
      </c>
      <c r="E32">
        <f t="shared" si="1"/>
        <v>0.14797210693360086</v>
      </c>
      <c r="F32" s="2">
        <v>1</v>
      </c>
      <c r="G32" s="2">
        <v>3</v>
      </c>
      <c r="H32">
        <v>116</v>
      </c>
    </row>
    <row r="33" spans="1:8" x14ac:dyDescent="0.25">
      <c r="A33" t="s">
        <v>34</v>
      </c>
      <c r="B33">
        <v>26</v>
      </c>
      <c r="C33">
        <v>37.300540924072273</v>
      </c>
      <c r="D33">
        <f t="shared" si="0"/>
        <v>11.300540924072273</v>
      </c>
      <c r="E33" t="str">
        <f t="shared" si="1"/>
        <v/>
      </c>
      <c r="F33" s="2">
        <v>1</v>
      </c>
      <c r="G33" s="2">
        <v>3</v>
      </c>
      <c r="H33">
        <v>116</v>
      </c>
    </row>
    <row r="34" spans="1:8" x14ac:dyDescent="0.25">
      <c r="A34" t="s">
        <v>35</v>
      </c>
      <c r="B34">
        <v>26</v>
      </c>
      <c r="C34">
        <v>37.372920989990227</v>
      </c>
      <c r="D34">
        <f t="shared" si="0"/>
        <v>11.372920989990227</v>
      </c>
      <c r="E34">
        <f t="shared" si="1"/>
        <v>0.71563339233399148</v>
      </c>
      <c r="F34" s="2">
        <v>1</v>
      </c>
      <c r="G34" s="2">
        <v>3</v>
      </c>
      <c r="H34">
        <v>117</v>
      </c>
    </row>
    <row r="35" spans="1:8" x14ac:dyDescent="0.25">
      <c r="A35" t="s">
        <v>36</v>
      </c>
      <c r="B35">
        <v>26</v>
      </c>
      <c r="C35">
        <v>38.088554382324219</v>
      </c>
      <c r="D35">
        <f t="shared" si="0"/>
        <v>12.088554382324219</v>
      </c>
      <c r="E35" t="str">
        <f t="shared" si="1"/>
        <v/>
      </c>
      <c r="F35" s="2">
        <v>1</v>
      </c>
      <c r="G35" s="2">
        <v>3</v>
      </c>
      <c r="H35">
        <v>117</v>
      </c>
    </row>
    <row r="36" spans="1:8" x14ac:dyDescent="0.25">
      <c r="A36" t="s">
        <v>37</v>
      </c>
      <c r="B36">
        <v>26</v>
      </c>
      <c r="C36">
        <v>34.750011444091797</v>
      </c>
      <c r="D36">
        <f t="shared" si="0"/>
        <v>8.7500114440917969</v>
      </c>
      <c r="E36">
        <f t="shared" si="1"/>
        <v>2.0945243835449219</v>
      </c>
      <c r="F36" s="2">
        <v>1</v>
      </c>
      <c r="G36" s="2">
        <v>3</v>
      </c>
      <c r="H36">
        <v>118</v>
      </c>
    </row>
    <row r="37" spans="1:8" x14ac:dyDescent="0.25">
      <c r="A37" t="s">
        <v>38</v>
      </c>
      <c r="B37">
        <v>26</v>
      </c>
      <c r="C37">
        <v>36.844535827636719</v>
      </c>
      <c r="D37">
        <f t="shared" si="0"/>
        <v>10.844535827636719</v>
      </c>
      <c r="E37" t="str">
        <f t="shared" si="1"/>
        <v/>
      </c>
      <c r="F37" s="2">
        <v>1</v>
      </c>
      <c r="G37" s="2">
        <v>3</v>
      </c>
      <c r="H37">
        <v>118</v>
      </c>
    </row>
    <row r="38" spans="1:8" x14ac:dyDescent="0.25">
      <c r="A38" t="s">
        <v>39</v>
      </c>
      <c r="B38">
        <v>26</v>
      </c>
      <c r="C38">
        <v>36.640090942382813</v>
      </c>
      <c r="D38">
        <f t="shared" si="0"/>
        <v>10.640090942382813</v>
      </c>
      <c r="E38">
        <f t="shared" si="1"/>
        <v>0.15560150146484375</v>
      </c>
      <c r="F38" s="2">
        <v>1</v>
      </c>
      <c r="G38" s="2">
        <v>3</v>
      </c>
      <c r="H38">
        <v>119</v>
      </c>
    </row>
    <row r="39" spans="1:8" x14ac:dyDescent="0.25">
      <c r="A39" t="s">
        <v>40</v>
      </c>
      <c r="B39">
        <v>26</v>
      </c>
      <c r="C39">
        <v>36.484489440917969</v>
      </c>
      <c r="D39">
        <f t="shared" si="0"/>
        <v>10.484489440917969</v>
      </c>
      <c r="E39" t="str">
        <f t="shared" si="1"/>
        <v/>
      </c>
      <c r="F39" s="2">
        <v>1</v>
      </c>
      <c r="G39" s="2">
        <v>3</v>
      </c>
      <c r="H39">
        <v>119</v>
      </c>
    </row>
    <row r="40" spans="1:8" x14ac:dyDescent="0.25">
      <c r="A40" t="s">
        <v>41</v>
      </c>
      <c r="B40">
        <v>26</v>
      </c>
      <c r="C40">
        <v>37.11566162109375</v>
      </c>
      <c r="D40">
        <f t="shared" si="0"/>
        <v>11.11566162109375</v>
      </c>
      <c r="E40">
        <f t="shared" si="1"/>
        <v>0.9116058349609375</v>
      </c>
      <c r="F40" s="2">
        <v>1</v>
      </c>
      <c r="G40" s="2">
        <v>3</v>
      </c>
      <c r="H40">
        <v>120</v>
      </c>
    </row>
    <row r="41" spans="1:8" x14ac:dyDescent="0.25">
      <c r="A41" t="s">
        <v>42</v>
      </c>
      <c r="B41">
        <v>26</v>
      </c>
      <c r="C41">
        <v>38.027267456054688</v>
      </c>
      <c r="D41">
        <f t="shared" si="0"/>
        <v>12.027267456054688</v>
      </c>
      <c r="E41" t="str">
        <f t="shared" si="1"/>
        <v/>
      </c>
      <c r="F41" s="2">
        <v>1</v>
      </c>
      <c r="G41" s="2">
        <v>3</v>
      </c>
      <c r="H41">
        <v>120</v>
      </c>
    </row>
    <row r="42" spans="1:8" x14ac:dyDescent="0.25">
      <c r="A42" t="s">
        <v>43</v>
      </c>
      <c r="B42">
        <v>31</v>
      </c>
      <c r="C42">
        <v>38.702651977539063</v>
      </c>
      <c r="D42">
        <f t="shared" si="0"/>
        <v>7.7026519775390625</v>
      </c>
      <c r="E42">
        <f t="shared" si="1"/>
        <v>0.83988189697264914</v>
      </c>
      <c r="F42" s="2">
        <v>1</v>
      </c>
      <c r="G42" s="2">
        <v>3</v>
      </c>
      <c r="H42">
        <v>201</v>
      </c>
    </row>
    <row r="43" spans="1:8" x14ac:dyDescent="0.25">
      <c r="A43" t="s">
        <v>44</v>
      </c>
      <c r="B43">
        <v>31</v>
      </c>
      <c r="C43">
        <v>37.862770080566413</v>
      </c>
      <c r="D43">
        <f t="shared" si="0"/>
        <v>6.8627700805664134</v>
      </c>
      <c r="E43" t="str">
        <f t="shared" si="1"/>
        <v/>
      </c>
      <c r="F43" s="2">
        <v>1</v>
      </c>
      <c r="G43" s="2">
        <v>3</v>
      </c>
      <c r="H43">
        <v>201</v>
      </c>
    </row>
    <row r="44" spans="1:8" x14ac:dyDescent="0.25">
      <c r="A44" t="s">
        <v>45</v>
      </c>
      <c r="B44">
        <v>31</v>
      </c>
      <c r="C44">
        <v>39.794349670410163</v>
      </c>
      <c r="D44">
        <f t="shared" si="0"/>
        <v>8.7943496704101634</v>
      </c>
      <c r="E44">
        <f t="shared" si="1"/>
        <v>0.324462890625</v>
      </c>
      <c r="F44" s="2">
        <v>1</v>
      </c>
      <c r="G44" s="2">
        <v>3</v>
      </c>
      <c r="H44">
        <v>202</v>
      </c>
    </row>
    <row r="45" spans="1:8" x14ac:dyDescent="0.25">
      <c r="A45" t="s">
        <v>46</v>
      </c>
      <c r="B45">
        <v>31</v>
      </c>
      <c r="C45">
        <v>39.469886779785163</v>
      </c>
      <c r="D45">
        <f t="shared" si="0"/>
        <v>8.4698867797851634</v>
      </c>
      <c r="E45" t="str">
        <f t="shared" si="1"/>
        <v/>
      </c>
      <c r="F45" s="2">
        <v>1</v>
      </c>
      <c r="G45" s="2">
        <v>3</v>
      </c>
      <c r="H45">
        <v>202</v>
      </c>
    </row>
    <row r="46" spans="1:8" x14ac:dyDescent="0.25">
      <c r="A46" t="s">
        <v>47</v>
      </c>
      <c r="B46">
        <v>31</v>
      </c>
      <c r="C46">
        <v>38.027885437011719</v>
      </c>
      <c r="D46">
        <f t="shared" si="0"/>
        <v>7.0278854370117188</v>
      </c>
      <c r="E46">
        <f t="shared" si="1"/>
        <v>0.90802001953125</v>
      </c>
      <c r="F46" s="2">
        <v>1</v>
      </c>
      <c r="G46" s="2">
        <v>3</v>
      </c>
      <c r="H46">
        <v>203</v>
      </c>
    </row>
    <row r="47" spans="1:8" x14ac:dyDescent="0.25">
      <c r="A47" t="s">
        <v>48</v>
      </c>
      <c r="B47">
        <v>31</v>
      </c>
      <c r="C47">
        <v>37.119865417480469</v>
      </c>
      <c r="D47">
        <f t="shared" si="0"/>
        <v>6.1198654174804688</v>
      </c>
      <c r="E47" t="str">
        <f t="shared" si="1"/>
        <v/>
      </c>
      <c r="F47" s="2">
        <v>1</v>
      </c>
      <c r="G47" s="2">
        <v>3</v>
      </c>
      <c r="H47">
        <v>203</v>
      </c>
    </row>
    <row r="48" spans="1:8" x14ac:dyDescent="0.25">
      <c r="A48" t="s">
        <v>49</v>
      </c>
      <c r="B48">
        <v>31</v>
      </c>
      <c r="C48">
        <v>40.254932403564453</v>
      </c>
      <c r="D48">
        <f t="shared" si="0"/>
        <v>9.2549324035644531</v>
      </c>
      <c r="E48">
        <f t="shared" si="1"/>
        <v>2.5051689147949219</v>
      </c>
      <c r="F48" s="2">
        <v>1</v>
      </c>
      <c r="G48" s="2">
        <v>3</v>
      </c>
      <c r="H48">
        <v>204</v>
      </c>
    </row>
    <row r="49" spans="1:8" x14ac:dyDescent="0.25">
      <c r="A49" t="s">
        <v>50</v>
      </c>
      <c r="B49">
        <v>31</v>
      </c>
      <c r="C49">
        <v>37.749763488769531</v>
      </c>
      <c r="D49">
        <f t="shared" si="0"/>
        <v>6.7497634887695313</v>
      </c>
      <c r="E49" t="str">
        <f t="shared" si="1"/>
        <v/>
      </c>
      <c r="F49" s="2">
        <v>1</v>
      </c>
      <c r="G49" s="2">
        <v>3</v>
      </c>
      <c r="H49">
        <v>204</v>
      </c>
    </row>
    <row r="50" spans="1:8" x14ac:dyDescent="0.25">
      <c r="A50" t="s">
        <v>51</v>
      </c>
      <c r="B50">
        <v>31</v>
      </c>
      <c r="C50">
        <v>39.185844421386719</v>
      </c>
      <c r="D50">
        <f t="shared" si="0"/>
        <v>8.1858444213867188</v>
      </c>
      <c r="E50">
        <f t="shared" si="1"/>
        <v>0.20833969116210938</v>
      </c>
      <c r="F50" s="2">
        <v>1</v>
      </c>
      <c r="G50" s="2">
        <v>3</v>
      </c>
      <c r="H50">
        <v>205</v>
      </c>
    </row>
    <row r="51" spans="1:8" x14ac:dyDescent="0.25">
      <c r="A51" t="s">
        <v>52</v>
      </c>
      <c r="B51">
        <v>31</v>
      </c>
      <c r="C51">
        <v>38.977504730224609</v>
      </c>
      <c r="D51">
        <f t="shared" si="0"/>
        <v>7.9775047302246094</v>
      </c>
      <c r="E51" t="str">
        <f t="shared" si="1"/>
        <v/>
      </c>
      <c r="F51" s="2">
        <v>1</v>
      </c>
      <c r="G51" s="2">
        <v>3</v>
      </c>
      <c r="H51">
        <v>205</v>
      </c>
    </row>
    <row r="52" spans="1:8" x14ac:dyDescent="0.25">
      <c r="A52" t="s">
        <v>53</v>
      </c>
      <c r="B52">
        <v>31</v>
      </c>
      <c r="C52">
        <v>36.342781066894531</v>
      </c>
      <c r="D52">
        <f t="shared" si="0"/>
        <v>5.3427810668945313</v>
      </c>
      <c r="E52">
        <f t="shared" si="1"/>
        <v>2.8498802185058594</v>
      </c>
      <c r="F52" s="2">
        <v>1</v>
      </c>
      <c r="G52" s="2">
        <v>3</v>
      </c>
      <c r="H52">
        <v>206</v>
      </c>
    </row>
    <row r="53" spans="1:8" x14ac:dyDescent="0.25">
      <c r="A53" t="s">
        <v>54</v>
      </c>
      <c r="B53">
        <v>31</v>
      </c>
      <c r="C53">
        <v>39.192661285400391</v>
      </c>
      <c r="D53">
        <f t="shared" si="0"/>
        <v>8.1926612854003906</v>
      </c>
      <c r="E53" t="str">
        <f t="shared" si="1"/>
        <v/>
      </c>
      <c r="F53" s="2">
        <v>1</v>
      </c>
      <c r="G53" s="2">
        <v>3</v>
      </c>
      <c r="H53">
        <v>206</v>
      </c>
    </row>
    <row r="54" spans="1:8" x14ac:dyDescent="0.25">
      <c r="A54" t="s">
        <v>55</v>
      </c>
      <c r="B54">
        <v>31</v>
      </c>
      <c r="C54">
        <v>40.13726806640625</v>
      </c>
      <c r="D54">
        <f t="shared" si="0"/>
        <v>9.13726806640625</v>
      </c>
      <c r="E54">
        <f t="shared" si="1"/>
        <v>0.12936782836914063</v>
      </c>
      <c r="F54" s="2">
        <v>1</v>
      </c>
      <c r="G54" s="2">
        <v>3</v>
      </c>
      <c r="H54">
        <v>207</v>
      </c>
    </row>
    <row r="55" spans="1:8" x14ac:dyDescent="0.25">
      <c r="A55" t="s">
        <v>56</v>
      </c>
      <c r="B55">
        <v>31</v>
      </c>
      <c r="C55">
        <v>40.266635894775391</v>
      </c>
      <c r="D55">
        <f t="shared" si="0"/>
        <v>9.2666358947753906</v>
      </c>
      <c r="E55" t="str">
        <f t="shared" si="1"/>
        <v/>
      </c>
      <c r="F55" s="2">
        <v>1</v>
      </c>
      <c r="G55" s="2">
        <v>3</v>
      </c>
      <c r="H55">
        <v>207</v>
      </c>
    </row>
    <row r="56" spans="1:8" x14ac:dyDescent="0.25">
      <c r="A56" t="s">
        <v>57</v>
      </c>
      <c r="B56">
        <v>31</v>
      </c>
      <c r="C56">
        <v>39.725032806396477</v>
      </c>
      <c r="D56">
        <f t="shared" si="0"/>
        <v>8.7250328063964773</v>
      </c>
      <c r="E56">
        <f t="shared" si="1"/>
        <v>1.702381134033196</v>
      </c>
      <c r="F56" s="2">
        <v>1</v>
      </c>
      <c r="G56" s="2">
        <v>3</v>
      </c>
      <c r="H56">
        <v>208</v>
      </c>
    </row>
    <row r="57" spans="1:8" x14ac:dyDescent="0.25">
      <c r="A57" t="s">
        <v>58</v>
      </c>
      <c r="B57">
        <v>31</v>
      </c>
      <c r="C57">
        <v>38.022651672363281</v>
      </c>
      <c r="D57">
        <f t="shared" si="0"/>
        <v>7.0226516723632813</v>
      </c>
      <c r="E57" t="str">
        <f t="shared" si="1"/>
        <v/>
      </c>
      <c r="F57" s="2">
        <v>1</v>
      </c>
      <c r="G57" s="2">
        <v>3</v>
      </c>
      <c r="H57">
        <v>208</v>
      </c>
    </row>
    <row r="58" spans="1:8" x14ac:dyDescent="0.25">
      <c r="A58" t="s">
        <v>59</v>
      </c>
      <c r="B58">
        <v>31</v>
      </c>
      <c r="C58">
        <v>38.740219116210938</v>
      </c>
      <c r="D58">
        <f t="shared" si="0"/>
        <v>7.7402191162109375</v>
      </c>
      <c r="E58">
        <f t="shared" si="1"/>
        <v>0.38617324829101563</v>
      </c>
      <c r="F58" s="2">
        <v>1</v>
      </c>
      <c r="G58" s="2">
        <v>3</v>
      </c>
      <c r="H58">
        <v>209</v>
      </c>
    </row>
    <row r="59" spans="1:8" x14ac:dyDescent="0.25">
      <c r="A59" t="s">
        <v>60</v>
      </c>
      <c r="B59">
        <v>31</v>
      </c>
      <c r="C59">
        <v>38.354045867919922</v>
      </c>
      <c r="D59">
        <f t="shared" si="0"/>
        <v>7.3540458679199219</v>
      </c>
      <c r="E59" t="str">
        <f t="shared" si="1"/>
        <v/>
      </c>
      <c r="F59" s="2">
        <v>1</v>
      </c>
      <c r="G59" s="2">
        <v>3</v>
      </c>
      <c r="H59">
        <v>209</v>
      </c>
    </row>
    <row r="60" spans="1:8" x14ac:dyDescent="0.25">
      <c r="A60" t="s">
        <v>61</v>
      </c>
      <c r="B60">
        <v>31</v>
      </c>
      <c r="C60">
        <v>37.332515716552727</v>
      </c>
      <c r="D60">
        <f t="shared" si="0"/>
        <v>6.3325157165527273</v>
      </c>
      <c r="E60">
        <f t="shared" si="1"/>
        <v>1.5318565368652415</v>
      </c>
      <c r="F60" s="2">
        <v>1</v>
      </c>
      <c r="G60" s="2">
        <v>3</v>
      </c>
      <c r="H60">
        <v>210</v>
      </c>
    </row>
    <row r="61" spans="1:8" x14ac:dyDescent="0.25">
      <c r="A61" t="s">
        <v>62</v>
      </c>
      <c r="B61">
        <v>31</v>
      </c>
      <c r="C61">
        <v>38.864372253417969</v>
      </c>
      <c r="D61">
        <f t="shared" si="0"/>
        <v>7.8643722534179688</v>
      </c>
      <c r="E61" t="str">
        <f t="shared" si="1"/>
        <v/>
      </c>
      <c r="F61" s="2">
        <v>1</v>
      </c>
      <c r="G61" s="2">
        <v>3</v>
      </c>
      <c r="H61">
        <v>210</v>
      </c>
    </row>
    <row r="62" spans="1:8" x14ac:dyDescent="0.25">
      <c r="A62" t="s">
        <v>63</v>
      </c>
      <c r="B62">
        <v>31</v>
      </c>
      <c r="C62">
        <v>38.306846618652337</v>
      </c>
      <c r="D62">
        <f t="shared" si="0"/>
        <v>7.3068466186523366</v>
      </c>
      <c r="E62">
        <f t="shared" si="1"/>
        <v>0.1533203125</v>
      </c>
      <c r="F62" s="2">
        <v>1</v>
      </c>
      <c r="G62" s="2">
        <v>3</v>
      </c>
      <c r="H62">
        <v>211</v>
      </c>
    </row>
    <row r="63" spans="1:8" x14ac:dyDescent="0.25">
      <c r="A63" t="s">
        <v>64</v>
      </c>
      <c r="B63">
        <v>31</v>
      </c>
      <c r="C63">
        <v>38.460166931152337</v>
      </c>
      <c r="D63">
        <f t="shared" si="0"/>
        <v>7.4601669311523366</v>
      </c>
      <c r="E63" t="str">
        <f t="shared" si="1"/>
        <v/>
      </c>
      <c r="F63" s="2">
        <v>1</v>
      </c>
      <c r="G63" s="2">
        <v>3</v>
      </c>
      <c r="H63">
        <v>211</v>
      </c>
    </row>
    <row r="64" spans="1:8" x14ac:dyDescent="0.25">
      <c r="A64" t="s">
        <v>65</v>
      </c>
      <c r="B64">
        <v>31</v>
      </c>
      <c r="C64">
        <v>36.564208984375</v>
      </c>
      <c r="D64">
        <f t="shared" si="0"/>
        <v>5.564208984375</v>
      </c>
      <c r="E64">
        <f t="shared" si="1"/>
        <v>3.2220077514648366</v>
      </c>
      <c r="F64" s="2">
        <v>1</v>
      </c>
      <c r="G64" s="2">
        <v>3</v>
      </c>
      <c r="H64">
        <v>212</v>
      </c>
    </row>
    <row r="65" spans="1:8" x14ac:dyDescent="0.25">
      <c r="A65" t="s">
        <v>66</v>
      </c>
      <c r="B65">
        <v>31</v>
      </c>
      <c r="C65">
        <v>39.786216735839837</v>
      </c>
      <c r="D65">
        <f t="shared" si="0"/>
        <v>8.7862167358398366</v>
      </c>
      <c r="E65" t="str">
        <f t="shared" si="1"/>
        <v/>
      </c>
      <c r="F65" s="2">
        <v>1</v>
      </c>
      <c r="G65" s="2">
        <v>3</v>
      </c>
      <c r="H65">
        <v>212</v>
      </c>
    </row>
    <row r="66" spans="1:8" x14ac:dyDescent="0.25">
      <c r="A66" t="s">
        <v>67</v>
      </c>
      <c r="B66">
        <v>31</v>
      </c>
      <c r="C66">
        <v>37.001167297363281</v>
      </c>
      <c r="D66">
        <f t="shared" si="0"/>
        <v>6.0011672973632813</v>
      </c>
      <c r="E66">
        <f t="shared" si="1"/>
        <v>1.9090309143066406</v>
      </c>
      <c r="F66" s="2">
        <v>1</v>
      </c>
      <c r="G66" s="2">
        <v>3</v>
      </c>
      <c r="H66">
        <v>213</v>
      </c>
    </row>
    <row r="67" spans="1:8" x14ac:dyDescent="0.25">
      <c r="A67" t="s">
        <v>68</v>
      </c>
      <c r="B67">
        <v>31</v>
      </c>
      <c r="C67">
        <v>38.910198211669922</v>
      </c>
      <c r="D67">
        <f t="shared" ref="D67:D121" si="2">ABS(C67-B67)</f>
        <v>7.9101982116699219</v>
      </c>
      <c r="E67" t="str">
        <f t="shared" ref="E67:E121" si="3">IF(MOD(ROW(),2)=0,ABS(C67-C68),"")</f>
        <v/>
      </c>
      <c r="F67" s="2">
        <v>1</v>
      </c>
      <c r="G67" s="2">
        <v>3</v>
      </c>
      <c r="H67">
        <v>213</v>
      </c>
    </row>
    <row r="68" spans="1:8" x14ac:dyDescent="0.25">
      <c r="A68" t="s">
        <v>69</v>
      </c>
      <c r="B68">
        <v>31</v>
      </c>
      <c r="C68">
        <v>37.337833404541023</v>
      </c>
      <c r="D68">
        <f t="shared" si="2"/>
        <v>6.3378334045410227</v>
      </c>
      <c r="E68">
        <f t="shared" si="3"/>
        <v>0.27436065673827414</v>
      </c>
      <c r="F68" s="2">
        <v>1</v>
      </c>
      <c r="G68" s="2">
        <v>3</v>
      </c>
      <c r="H68">
        <v>214</v>
      </c>
    </row>
    <row r="69" spans="1:8" x14ac:dyDescent="0.25">
      <c r="A69" t="s">
        <v>70</v>
      </c>
      <c r="B69">
        <v>31</v>
      </c>
      <c r="C69">
        <v>37.612194061279297</v>
      </c>
      <c r="D69">
        <f t="shared" si="2"/>
        <v>6.6121940612792969</v>
      </c>
      <c r="E69" t="str">
        <f t="shared" si="3"/>
        <v/>
      </c>
      <c r="F69" s="2">
        <v>1</v>
      </c>
      <c r="G69" s="2">
        <v>3</v>
      </c>
      <c r="H69">
        <v>214</v>
      </c>
    </row>
    <row r="70" spans="1:8" x14ac:dyDescent="0.25">
      <c r="A70" t="s">
        <v>71</v>
      </c>
      <c r="B70">
        <v>31</v>
      </c>
      <c r="C70">
        <v>38.035907745361328</v>
      </c>
      <c r="D70">
        <f t="shared" si="2"/>
        <v>7.0359077453613281</v>
      </c>
      <c r="E70">
        <f t="shared" si="3"/>
        <v>4.2636184692382813</v>
      </c>
      <c r="F70" s="2">
        <v>1</v>
      </c>
      <c r="G70" s="2">
        <v>3</v>
      </c>
      <c r="H70">
        <v>215</v>
      </c>
    </row>
    <row r="71" spans="1:8" x14ac:dyDescent="0.25">
      <c r="A71" t="s">
        <v>72</v>
      </c>
      <c r="B71">
        <v>31</v>
      </c>
      <c r="C71">
        <v>33.772289276123047</v>
      </c>
      <c r="D71">
        <f t="shared" si="2"/>
        <v>2.7722892761230469</v>
      </c>
      <c r="E71" t="str">
        <f t="shared" si="3"/>
        <v/>
      </c>
      <c r="F71" s="2">
        <v>1</v>
      </c>
      <c r="G71" s="2">
        <v>3</v>
      </c>
      <c r="H71">
        <v>215</v>
      </c>
    </row>
    <row r="72" spans="1:8" x14ac:dyDescent="0.25">
      <c r="A72" t="s">
        <v>73</v>
      </c>
      <c r="B72">
        <v>31</v>
      </c>
      <c r="C72">
        <v>40.437789916992188</v>
      </c>
      <c r="D72">
        <f t="shared" si="2"/>
        <v>9.4377899169921875</v>
      </c>
      <c r="E72">
        <f t="shared" si="3"/>
        <v>1.7077255249023509</v>
      </c>
      <c r="F72" s="2">
        <v>1</v>
      </c>
      <c r="G72" s="2">
        <v>3</v>
      </c>
      <c r="H72">
        <v>216</v>
      </c>
    </row>
    <row r="73" spans="1:8" x14ac:dyDescent="0.25">
      <c r="A73" t="s">
        <v>74</v>
      </c>
      <c r="B73">
        <v>31</v>
      </c>
      <c r="C73">
        <v>38.730064392089837</v>
      </c>
      <c r="D73">
        <f t="shared" si="2"/>
        <v>7.7300643920898366</v>
      </c>
      <c r="E73" t="str">
        <f t="shared" si="3"/>
        <v/>
      </c>
      <c r="F73" s="2">
        <v>1</v>
      </c>
      <c r="G73" s="2">
        <v>3</v>
      </c>
      <c r="H73">
        <v>216</v>
      </c>
    </row>
    <row r="74" spans="1:8" x14ac:dyDescent="0.25">
      <c r="A74" t="s">
        <v>75</v>
      </c>
      <c r="B74">
        <v>31</v>
      </c>
      <c r="C74">
        <v>37.445045471191413</v>
      </c>
      <c r="D74">
        <f t="shared" si="2"/>
        <v>6.4450454711914134</v>
      </c>
      <c r="E74">
        <f t="shared" si="3"/>
        <v>2.9294471740722585</v>
      </c>
      <c r="F74" s="2">
        <v>1</v>
      </c>
      <c r="G74" s="2">
        <v>3</v>
      </c>
      <c r="H74">
        <v>217</v>
      </c>
    </row>
    <row r="75" spans="1:8" x14ac:dyDescent="0.25">
      <c r="A75" t="s">
        <v>76</v>
      </c>
      <c r="B75">
        <v>31</v>
      </c>
      <c r="C75">
        <v>40.374492645263672</v>
      </c>
      <c r="D75">
        <f t="shared" si="2"/>
        <v>9.3744926452636719</v>
      </c>
      <c r="E75" t="str">
        <f t="shared" si="3"/>
        <v/>
      </c>
      <c r="F75" s="2">
        <v>1</v>
      </c>
      <c r="G75" s="2">
        <v>3</v>
      </c>
      <c r="H75">
        <v>217</v>
      </c>
    </row>
    <row r="76" spans="1:8" x14ac:dyDescent="0.25">
      <c r="A76" t="s">
        <v>77</v>
      </c>
      <c r="B76">
        <v>31</v>
      </c>
      <c r="C76">
        <v>40.139568328857422</v>
      </c>
      <c r="D76">
        <f t="shared" si="2"/>
        <v>9.1395683288574219</v>
      </c>
      <c r="E76">
        <f t="shared" si="3"/>
        <v>0.99018478393553977</v>
      </c>
      <c r="F76" s="2">
        <v>1</v>
      </c>
      <c r="G76" s="2">
        <v>3</v>
      </c>
      <c r="H76">
        <v>218</v>
      </c>
    </row>
    <row r="77" spans="1:8" x14ac:dyDescent="0.25">
      <c r="A77" t="s">
        <v>78</v>
      </c>
      <c r="B77">
        <v>31</v>
      </c>
      <c r="C77">
        <v>39.149383544921882</v>
      </c>
      <c r="D77">
        <f t="shared" si="2"/>
        <v>8.1493835449218821</v>
      </c>
      <c r="E77" t="str">
        <f t="shared" si="3"/>
        <v/>
      </c>
      <c r="F77" s="2">
        <v>1</v>
      </c>
      <c r="G77" s="2">
        <v>3</v>
      </c>
      <c r="H77">
        <v>218</v>
      </c>
    </row>
    <row r="78" spans="1:8" x14ac:dyDescent="0.25">
      <c r="A78" t="s">
        <v>79</v>
      </c>
      <c r="B78">
        <v>31</v>
      </c>
      <c r="C78">
        <v>39.752513885498047</v>
      </c>
      <c r="D78">
        <f t="shared" si="2"/>
        <v>8.7525138854980469</v>
      </c>
      <c r="E78">
        <f t="shared" si="3"/>
        <v>2.6344337463378835</v>
      </c>
      <c r="F78" s="2">
        <v>1</v>
      </c>
      <c r="G78" s="2">
        <v>3</v>
      </c>
      <c r="H78">
        <v>219</v>
      </c>
    </row>
    <row r="79" spans="1:8" x14ac:dyDescent="0.25">
      <c r="A79" t="s">
        <v>80</v>
      </c>
      <c r="B79">
        <v>31</v>
      </c>
      <c r="C79">
        <v>37.118080139160163</v>
      </c>
      <c r="D79">
        <f t="shared" si="2"/>
        <v>6.1180801391601634</v>
      </c>
      <c r="E79" t="str">
        <f t="shared" si="3"/>
        <v/>
      </c>
      <c r="F79" s="2">
        <v>1</v>
      </c>
      <c r="G79" s="2">
        <v>3</v>
      </c>
      <c r="H79">
        <v>219</v>
      </c>
    </row>
    <row r="80" spans="1:8" x14ac:dyDescent="0.25">
      <c r="A80" t="s">
        <v>81</v>
      </c>
      <c r="B80">
        <v>31</v>
      </c>
      <c r="C80">
        <v>38.734024047851563</v>
      </c>
      <c r="D80">
        <f t="shared" si="2"/>
        <v>7.7340240478515625</v>
      </c>
      <c r="E80">
        <f t="shared" si="3"/>
        <v>0.96904373168945313</v>
      </c>
      <c r="F80" s="2">
        <v>1</v>
      </c>
      <c r="G80" s="2">
        <v>3</v>
      </c>
      <c r="H80">
        <v>220</v>
      </c>
    </row>
    <row r="81" spans="1:8" x14ac:dyDescent="0.25">
      <c r="A81" t="s">
        <v>82</v>
      </c>
      <c r="B81">
        <v>31</v>
      </c>
      <c r="C81">
        <v>37.764980316162109</v>
      </c>
      <c r="D81">
        <f t="shared" si="2"/>
        <v>6.7649803161621094</v>
      </c>
      <c r="E81" t="str">
        <f t="shared" si="3"/>
        <v/>
      </c>
      <c r="F81" s="2">
        <v>1</v>
      </c>
      <c r="G81" s="2">
        <v>3</v>
      </c>
      <c r="H81">
        <v>220</v>
      </c>
    </row>
    <row r="82" spans="1:8" x14ac:dyDescent="0.25">
      <c r="A82" t="s">
        <v>83</v>
      </c>
      <c r="B82">
        <v>30</v>
      </c>
      <c r="C82">
        <v>34.788166046142578</v>
      </c>
      <c r="D82">
        <f t="shared" si="2"/>
        <v>4.7881660461425781</v>
      </c>
      <c r="E82">
        <f t="shared" si="3"/>
        <v>0.49276351928710938</v>
      </c>
      <c r="F82" s="2">
        <v>2</v>
      </c>
      <c r="G82" s="2">
        <v>3</v>
      </c>
      <c r="H82">
        <v>301</v>
      </c>
    </row>
    <row r="83" spans="1:8" x14ac:dyDescent="0.25">
      <c r="A83" t="s">
        <v>84</v>
      </c>
      <c r="B83">
        <v>30</v>
      </c>
      <c r="C83">
        <v>34.295402526855469</v>
      </c>
      <c r="D83">
        <f t="shared" si="2"/>
        <v>4.2954025268554688</v>
      </c>
      <c r="E83" t="str">
        <f t="shared" si="3"/>
        <v/>
      </c>
      <c r="F83" s="2">
        <v>2</v>
      </c>
      <c r="G83" s="2">
        <v>3</v>
      </c>
      <c r="H83">
        <v>301</v>
      </c>
    </row>
    <row r="84" spans="1:8" x14ac:dyDescent="0.25">
      <c r="A84" t="s">
        <v>85</v>
      </c>
      <c r="B84">
        <v>30</v>
      </c>
      <c r="C84">
        <v>30.44553375244141</v>
      </c>
      <c r="D84">
        <f t="shared" si="2"/>
        <v>0.4455337524414098</v>
      </c>
      <c r="E84">
        <f t="shared" si="3"/>
        <v>0.90506744384764914</v>
      </c>
      <c r="F84" s="2">
        <v>2</v>
      </c>
      <c r="G84" s="2">
        <v>3</v>
      </c>
      <c r="H84">
        <v>302</v>
      </c>
    </row>
    <row r="85" spans="1:8" x14ac:dyDescent="0.25">
      <c r="A85" t="s">
        <v>86</v>
      </c>
      <c r="B85">
        <v>30</v>
      </c>
      <c r="C85">
        <v>31.350601196289059</v>
      </c>
      <c r="D85">
        <f t="shared" si="2"/>
        <v>1.3506011962890589</v>
      </c>
      <c r="E85" t="str">
        <f t="shared" si="3"/>
        <v/>
      </c>
      <c r="F85" s="2">
        <v>2</v>
      </c>
      <c r="G85" s="2">
        <v>3</v>
      </c>
      <c r="H85">
        <v>302</v>
      </c>
    </row>
    <row r="86" spans="1:8" x14ac:dyDescent="0.25">
      <c r="A86" t="s">
        <v>87</v>
      </c>
      <c r="B86">
        <v>30</v>
      </c>
      <c r="C86">
        <v>33.367172241210938</v>
      </c>
      <c r="D86">
        <f t="shared" si="2"/>
        <v>3.3671722412109375</v>
      </c>
      <c r="E86">
        <f t="shared" si="3"/>
        <v>1.1881256103515625</v>
      </c>
      <c r="F86" s="2">
        <v>2</v>
      </c>
      <c r="G86" s="2">
        <v>3</v>
      </c>
      <c r="H86">
        <v>303</v>
      </c>
    </row>
    <row r="87" spans="1:8" x14ac:dyDescent="0.25">
      <c r="A87" t="s">
        <v>88</v>
      </c>
      <c r="B87">
        <v>30</v>
      </c>
      <c r="C87">
        <v>34.5552978515625</v>
      </c>
      <c r="D87">
        <f t="shared" si="2"/>
        <v>4.5552978515625</v>
      </c>
      <c r="E87" t="str">
        <f t="shared" si="3"/>
        <v/>
      </c>
      <c r="F87" s="2">
        <v>2</v>
      </c>
      <c r="G87" s="2">
        <v>3</v>
      </c>
      <c r="H87">
        <v>303</v>
      </c>
    </row>
    <row r="88" spans="1:8" x14ac:dyDescent="0.25">
      <c r="A88" t="s">
        <v>89</v>
      </c>
      <c r="B88">
        <v>30</v>
      </c>
      <c r="C88">
        <v>34.270164489746087</v>
      </c>
      <c r="D88">
        <f t="shared" si="2"/>
        <v>4.2701644897460866</v>
      </c>
      <c r="E88">
        <f t="shared" si="3"/>
        <v>0.92271804809569602</v>
      </c>
      <c r="F88" s="2">
        <v>2</v>
      </c>
      <c r="G88" s="2">
        <v>3</v>
      </c>
      <c r="H88">
        <v>304</v>
      </c>
    </row>
    <row r="89" spans="1:8" x14ac:dyDescent="0.25">
      <c r="A89" t="s">
        <v>90</v>
      </c>
      <c r="B89">
        <v>30</v>
      </c>
      <c r="C89">
        <v>33.347446441650391</v>
      </c>
      <c r="D89">
        <f t="shared" si="2"/>
        <v>3.3474464416503906</v>
      </c>
      <c r="E89" t="str">
        <f t="shared" si="3"/>
        <v/>
      </c>
      <c r="F89" s="2">
        <v>2</v>
      </c>
      <c r="G89" s="2">
        <v>3</v>
      </c>
      <c r="H89">
        <v>304</v>
      </c>
    </row>
    <row r="90" spans="1:8" x14ac:dyDescent="0.25">
      <c r="A90" t="s">
        <v>91</v>
      </c>
      <c r="B90">
        <v>30</v>
      </c>
      <c r="C90">
        <v>36.097198486328118</v>
      </c>
      <c r="D90">
        <f t="shared" si="2"/>
        <v>6.0971984863281179</v>
      </c>
      <c r="E90">
        <f t="shared" si="3"/>
        <v>2.046649932861321</v>
      </c>
      <c r="F90" s="2">
        <v>2</v>
      </c>
      <c r="G90" s="2">
        <v>3</v>
      </c>
      <c r="H90">
        <v>305</v>
      </c>
    </row>
    <row r="91" spans="1:8" x14ac:dyDescent="0.25">
      <c r="A91" t="s">
        <v>92</v>
      </c>
      <c r="B91">
        <v>30</v>
      </c>
      <c r="C91">
        <v>34.050548553466797</v>
      </c>
      <c r="D91">
        <f t="shared" si="2"/>
        <v>4.0505485534667969</v>
      </c>
      <c r="E91" t="str">
        <f t="shared" si="3"/>
        <v/>
      </c>
      <c r="F91" s="2">
        <v>2</v>
      </c>
      <c r="G91" s="2">
        <v>3</v>
      </c>
      <c r="H91">
        <v>305</v>
      </c>
    </row>
    <row r="92" spans="1:8" x14ac:dyDescent="0.25">
      <c r="A92" t="s">
        <v>93</v>
      </c>
      <c r="B92">
        <v>30</v>
      </c>
      <c r="C92">
        <v>30.723018646240231</v>
      </c>
      <c r="D92">
        <f t="shared" si="2"/>
        <v>0.72301864624023082</v>
      </c>
      <c r="E92">
        <f t="shared" si="3"/>
        <v>0.89990997314453836</v>
      </c>
      <c r="F92" s="2">
        <v>2</v>
      </c>
      <c r="G92" s="2">
        <v>3</v>
      </c>
      <c r="H92">
        <v>306</v>
      </c>
    </row>
    <row r="93" spans="1:8" x14ac:dyDescent="0.25">
      <c r="A93" t="s">
        <v>94</v>
      </c>
      <c r="B93">
        <v>30</v>
      </c>
      <c r="C93">
        <v>31.622928619384769</v>
      </c>
      <c r="D93">
        <f t="shared" si="2"/>
        <v>1.6229286193847692</v>
      </c>
      <c r="E93" t="str">
        <f t="shared" si="3"/>
        <v/>
      </c>
      <c r="F93" s="2">
        <v>2</v>
      </c>
      <c r="G93" s="2">
        <v>3</v>
      </c>
      <c r="H93">
        <v>306</v>
      </c>
    </row>
    <row r="94" spans="1:8" x14ac:dyDescent="0.25">
      <c r="A94" t="s">
        <v>95</v>
      </c>
      <c r="B94">
        <v>30</v>
      </c>
      <c r="C94">
        <v>31.588472366333011</v>
      </c>
      <c r="D94">
        <f t="shared" si="2"/>
        <v>1.5884723663330114</v>
      </c>
      <c r="E94">
        <f t="shared" si="3"/>
        <v>1.5893421173095668</v>
      </c>
      <c r="F94" s="2">
        <v>2</v>
      </c>
      <c r="G94" s="2">
        <v>3</v>
      </c>
      <c r="H94">
        <v>307</v>
      </c>
    </row>
    <row r="95" spans="1:8" x14ac:dyDescent="0.25">
      <c r="A95" t="s">
        <v>96</v>
      </c>
      <c r="B95">
        <v>30</v>
      </c>
      <c r="C95">
        <v>33.177814483642578</v>
      </c>
      <c r="D95">
        <f t="shared" si="2"/>
        <v>3.1778144836425781</v>
      </c>
      <c r="E95" t="str">
        <f t="shared" si="3"/>
        <v/>
      </c>
      <c r="F95" s="2">
        <v>2</v>
      </c>
      <c r="G95" s="2">
        <v>3</v>
      </c>
      <c r="H95">
        <v>307</v>
      </c>
    </row>
    <row r="96" spans="1:8" x14ac:dyDescent="0.25">
      <c r="A96" t="s">
        <v>97</v>
      </c>
      <c r="B96">
        <v>30</v>
      </c>
      <c r="C96">
        <v>32.948173522949219</v>
      </c>
      <c r="D96">
        <f t="shared" si="2"/>
        <v>2.9481735229492188</v>
      </c>
      <c r="E96">
        <f t="shared" si="3"/>
        <v>0.74265670776367188</v>
      </c>
      <c r="F96" s="2">
        <v>2</v>
      </c>
      <c r="G96" s="2">
        <v>3</v>
      </c>
      <c r="H96">
        <v>308</v>
      </c>
    </row>
    <row r="97" spans="1:8" x14ac:dyDescent="0.25">
      <c r="A97" t="s">
        <v>98</v>
      </c>
      <c r="B97">
        <v>30</v>
      </c>
      <c r="C97">
        <v>32.205516815185547</v>
      </c>
      <c r="D97">
        <f t="shared" si="2"/>
        <v>2.2055168151855469</v>
      </c>
      <c r="E97" t="str">
        <f t="shared" si="3"/>
        <v/>
      </c>
      <c r="F97" s="2">
        <v>2</v>
      </c>
      <c r="G97" s="2">
        <v>3</v>
      </c>
      <c r="H97">
        <v>308</v>
      </c>
    </row>
    <row r="98" spans="1:8" x14ac:dyDescent="0.25">
      <c r="A98" t="s">
        <v>99</v>
      </c>
      <c r="B98">
        <v>30</v>
      </c>
      <c r="C98">
        <v>29.612127304077148</v>
      </c>
      <c r="D98">
        <f t="shared" si="2"/>
        <v>0.38787269592285156</v>
      </c>
      <c r="E98">
        <f t="shared" si="3"/>
        <v>4.3986072540283203</v>
      </c>
      <c r="F98" s="2">
        <v>2</v>
      </c>
      <c r="G98" s="2">
        <v>3</v>
      </c>
      <c r="H98">
        <v>309</v>
      </c>
    </row>
    <row r="99" spans="1:8" x14ac:dyDescent="0.25">
      <c r="A99" t="s">
        <v>100</v>
      </c>
      <c r="B99">
        <v>30</v>
      </c>
      <c r="C99">
        <v>34.010734558105469</v>
      </c>
      <c r="D99">
        <f t="shared" si="2"/>
        <v>4.0107345581054688</v>
      </c>
      <c r="E99" t="str">
        <f t="shared" si="3"/>
        <v/>
      </c>
      <c r="F99" s="2">
        <v>2</v>
      </c>
      <c r="G99" s="2">
        <v>3</v>
      </c>
      <c r="H99">
        <v>309</v>
      </c>
    </row>
    <row r="100" spans="1:8" x14ac:dyDescent="0.25">
      <c r="A100" t="s">
        <v>101</v>
      </c>
      <c r="B100">
        <v>30</v>
      </c>
      <c r="C100">
        <v>30.65095138549805</v>
      </c>
      <c r="D100">
        <f t="shared" si="2"/>
        <v>0.65095138549805043</v>
      </c>
      <c r="E100">
        <f t="shared" si="3"/>
        <v>0.24625778198241832</v>
      </c>
      <c r="F100" s="2">
        <v>2</v>
      </c>
      <c r="G100" s="2">
        <v>3</v>
      </c>
      <c r="H100">
        <v>310</v>
      </c>
    </row>
    <row r="101" spans="1:8" x14ac:dyDescent="0.25">
      <c r="A101" t="s">
        <v>102</v>
      </c>
      <c r="B101">
        <v>30</v>
      </c>
      <c r="C101">
        <v>30.897209167480469</v>
      </c>
      <c r="D101">
        <f t="shared" si="2"/>
        <v>0.89720916748046875</v>
      </c>
      <c r="E101" t="str">
        <f t="shared" si="3"/>
        <v/>
      </c>
      <c r="F101" s="2">
        <v>2</v>
      </c>
      <c r="G101" s="2">
        <v>3</v>
      </c>
      <c r="H101">
        <v>310</v>
      </c>
    </row>
    <row r="102" spans="1:8" x14ac:dyDescent="0.25">
      <c r="A102" t="s">
        <v>103</v>
      </c>
      <c r="B102">
        <v>30</v>
      </c>
      <c r="C102">
        <v>30.761520385742191</v>
      </c>
      <c r="D102">
        <f t="shared" si="2"/>
        <v>0.76152038574219105</v>
      </c>
      <c r="E102">
        <f t="shared" si="3"/>
        <v>1.5470561981201207</v>
      </c>
      <c r="F102" s="2">
        <v>2</v>
      </c>
      <c r="G102" s="2">
        <v>3</v>
      </c>
      <c r="H102">
        <v>311</v>
      </c>
    </row>
    <row r="103" spans="1:8" x14ac:dyDescent="0.25">
      <c r="A103" t="s">
        <v>104</v>
      </c>
      <c r="B103">
        <v>30</v>
      </c>
      <c r="C103">
        <v>29.21446418762207</v>
      </c>
      <c r="D103">
        <f t="shared" si="2"/>
        <v>0.78553581237792969</v>
      </c>
      <c r="E103" t="str">
        <f t="shared" si="3"/>
        <v/>
      </c>
      <c r="F103" s="2">
        <v>2</v>
      </c>
      <c r="G103" s="2">
        <v>3</v>
      </c>
      <c r="H103">
        <v>311</v>
      </c>
    </row>
    <row r="104" spans="1:8" x14ac:dyDescent="0.25">
      <c r="A104" t="s">
        <v>105</v>
      </c>
      <c r="B104">
        <v>30</v>
      </c>
      <c r="C104">
        <v>33.603000640869141</v>
      </c>
      <c r="D104">
        <f t="shared" si="2"/>
        <v>3.6030006408691406</v>
      </c>
      <c r="E104">
        <f t="shared" si="3"/>
        <v>3.0769329071044922</v>
      </c>
      <c r="F104" s="2">
        <v>2</v>
      </c>
      <c r="G104" s="2">
        <v>3</v>
      </c>
      <c r="H104">
        <v>312</v>
      </c>
    </row>
    <row r="105" spans="1:8" x14ac:dyDescent="0.25">
      <c r="A105" t="s">
        <v>106</v>
      </c>
      <c r="B105">
        <v>30</v>
      </c>
      <c r="C105">
        <v>30.526067733764648</v>
      </c>
      <c r="D105">
        <f t="shared" si="2"/>
        <v>0.52606773376464844</v>
      </c>
      <c r="E105" t="str">
        <f t="shared" si="3"/>
        <v/>
      </c>
      <c r="F105" s="2">
        <v>2</v>
      </c>
      <c r="G105" s="2">
        <v>3</v>
      </c>
      <c r="H105">
        <v>312</v>
      </c>
    </row>
    <row r="106" spans="1:8" x14ac:dyDescent="0.25">
      <c r="A106" t="s">
        <v>107</v>
      </c>
      <c r="B106">
        <v>30</v>
      </c>
      <c r="C106">
        <v>30.443246841430661</v>
      </c>
      <c r="D106">
        <f t="shared" si="2"/>
        <v>0.44324684143066051</v>
      </c>
      <c r="E106">
        <f t="shared" si="3"/>
        <v>1.0713634490966797</v>
      </c>
      <c r="F106" s="2">
        <v>2</v>
      </c>
      <c r="G106" s="2">
        <v>3</v>
      </c>
      <c r="H106">
        <v>313</v>
      </c>
    </row>
    <row r="107" spans="1:8" x14ac:dyDescent="0.25">
      <c r="A107" t="s">
        <v>108</v>
      </c>
      <c r="B107">
        <v>30</v>
      </c>
      <c r="C107">
        <v>31.51461029052734</v>
      </c>
      <c r="D107">
        <f t="shared" si="2"/>
        <v>1.5146102905273402</v>
      </c>
      <c r="E107" t="str">
        <f t="shared" si="3"/>
        <v/>
      </c>
      <c r="F107" s="2">
        <v>2</v>
      </c>
      <c r="G107" s="2">
        <v>3</v>
      </c>
      <c r="H107">
        <v>313</v>
      </c>
    </row>
    <row r="108" spans="1:8" x14ac:dyDescent="0.25">
      <c r="A108" t="s">
        <v>109</v>
      </c>
      <c r="B108">
        <v>30</v>
      </c>
      <c r="C108">
        <v>33.140144348144531</v>
      </c>
      <c r="D108">
        <f t="shared" si="2"/>
        <v>3.1401443481445313</v>
      </c>
      <c r="E108">
        <f t="shared" si="3"/>
        <v>0.22063064575195313</v>
      </c>
      <c r="F108" s="2">
        <v>2</v>
      </c>
      <c r="G108" s="2">
        <v>3</v>
      </c>
      <c r="H108">
        <v>314</v>
      </c>
    </row>
    <row r="109" spans="1:8" x14ac:dyDescent="0.25">
      <c r="A109" t="s">
        <v>110</v>
      </c>
      <c r="B109">
        <v>30</v>
      </c>
      <c r="C109">
        <v>32.919513702392578</v>
      </c>
      <c r="D109">
        <f t="shared" si="2"/>
        <v>2.9195137023925781</v>
      </c>
      <c r="E109" t="str">
        <f t="shared" si="3"/>
        <v/>
      </c>
      <c r="F109" s="2">
        <v>2</v>
      </c>
      <c r="G109" s="2">
        <v>3</v>
      </c>
      <c r="H109">
        <v>314</v>
      </c>
    </row>
    <row r="110" spans="1:8" x14ac:dyDescent="0.25">
      <c r="A110" t="s">
        <v>111</v>
      </c>
      <c r="B110">
        <v>30</v>
      </c>
      <c r="C110">
        <v>33.388015747070313</v>
      </c>
      <c r="D110">
        <f t="shared" si="2"/>
        <v>3.3880157470703125</v>
      </c>
      <c r="E110">
        <f t="shared" si="3"/>
        <v>1.9123458862304723</v>
      </c>
      <c r="F110" s="2">
        <v>2</v>
      </c>
      <c r="G110" s="2">
        <v>3</v>
      </c>
      <c r="H110">
        <v>315</v>
      </c>
    </row>
    <row r="111" spans="1:8" x14ac:dyDescent="0.25">
      <c r="A111" t="s">
        <v>112</v>
      </c>
      <c r="B111">
        <v>30</v>
      </c>
      <c r="C111">
        <v>31.47566986083984</v>
      </c>
      <c r="D111">
        <f t="shared" si="2"/>
        <v>1.4756698608398402</v>
      </c>
      <c r="E111" t="str">
        <f t="shared" si="3"/>
        <v/>
      </c>
      <c r="F111" s="2">
        <v>2</v>
      </c>
      <c r="G111" s="2">
        <v>3</v>
      </c>
      <c r="H111">
        <v>315</v>
      </c>
    </row>
    <row r="112" spans="1:8" x14ac:dyDescent="0.25">
      <c r="A112" t="s">
        <v>113</v>
      </c>
      <c r="B112">
        <v>30</v>
      </c>
      <c r="C112">
        <v>35.118213653564453</v>
      </c>
      <c r="D112">
        <f t="shared" si="2"/>
        <v>5.1182136535644531</v>
      </c>
      <c r="E112">
        <f t="shared" si="3"/>
        <v>2.3235054016113352</v>
      </c>
      <c r="F112" s="2">
        <v>2</v>
      </c>
      <c r="G112" s="2">
        <v>3</v>
      </c>
      <c r="H112">
        <v>316</v>
      </c>
    </row>
    <row r="113" spans="1:8" x14ac:dyDescent="0.25">
      <c r="A113" t="s">
        <v>114</v>
      </c>
      <c r="B113">
        <v>30</v>
      </c>
      <c r="C113">
        <v>32.794708251953118</v>
      </c>
      <c r="D113">
        <f t="shared" si="2"/>
        <v>2.7947082519531179</v>
      </c>
      <c r="E113" t="str">
        <f t="shared" si="3"/>
        <v/>
      </c>
      <c r="F113" s="2">
        <v>2</v>
      </c>
      <c r="G113" s="2">
        <v>3</v>
      </c>
      <c r="H113">
        <v>316</v>
      </c>
    </row>
    <row r="114" spans="1:8" x14ac:dyDescent="0.25">
      <c r="A114" t="s">
        <v>115</v>
      </c>
      <c r="B114">
        <v>30</v>
      </c>
      <c r="C114">
        <v>33.17486572265625</v>
      </c>
      <c r="D114">
        <f t="shared" si="2"/>
        <v>3.17486572265625</v>
      </c>
      <c r="E114">
        <f t="shared" si="3"/>
        <v>0.43424606323242188</v>
      </c>
      <c r="F114" s="2">
        <v>2</v>
      </c>
      <c r="G114" s="2">
        <v>3</v>
      </c>
      <c r="H114">
        <v>317</v>
      </c>
    </row>
    <row r="115" spans="1:8" x14ac:dyDescent="0.25">
      <c r="A115" t="s">
        <v>116</v>
      </c>
      <c r="B115">
        <v>30</v>
      </c>
      <c r="C115">
        <v>32.740619659423828</v>
      </c>
      <c r="D115">
        <f t="shared" si="2"/>
        <v>2.7406196594238281</v>
      </c>
      <c r="E115" t="str">
        <f t="shared" si="3"/>
        <v/>
      </c>
      <c r="F115" s="2">
        <v>2</v>
      </c>
      <c r="G115" s="2">
        <v>3</v>
      </c>
      <c r="H115">
        <v>317</v>
      </c>
    </row>
    <row r="116" spans="1:8" x14ac:dyDescent="0.25">
      <c r="A116" t="s">
        <v>117</v>
      </c>
      <c r="B116">
        <v>30</v>
      </c>
      <c r="C116">
        <v>35.041236877441413</v>
      </c>
      <c r="D116">
        <f t="shared" si="2"/>
        <v>5.0412368774414134</v>
      </c>
      <c r="E116">
        <f t="shared" si="3"/>
        <v>2.3695945739746165</v>
      </c>
      <c r="F116" s="2">
        <v>2</v>
      </c>
      <c r="G116" s="2">
        <v>3</v>
      </c>
      <c r="H116">
        <v>318</v>
      </c>
    </row>
    <row r="117" spans="1:8" x14ac:dyDescent="0.25">
      <c r="A117" t="s">
        <v>118</v>
      </c>
      <c r="B117">
        <v>30</v>
      </c>
      <c r="C117">
        <v>32.671642303466797</v>
      </c>
      <c r="D117">
        <f t="shared" si="2"/>
        <v>2.6716423034667969</v>
      </c>
      <c r="E117" t="str">
        <f t="shared" si="3"/>
        <v/>
      </c>
      <c r="F117" s="2">
        <v>2</v>
      </c>
      <c r="G117" s="2">
        <v>3</v>
      </c>
      <c r="H117">
        <v>318</v>
      </c>
    </row>
    <row r="118" spans="1:8" x14ac:dyDescent="0.25">
      <c r="A118" t="s">
        <v>119</v>
      </c>
      <c r="B118">
        <v>30</v>
      </c>
      <c r="C118">
        <v>30.926155090332031</v>
      </c>
      <c r="D118">
        <f t="shared" si="2"/>
        <v>0.92615509033203125</v>
      </c>
      <c r="E118">
        <f t="shared" si="3"/>
        <v>3.8859825134277415</v>
      </c>
      <c r="F118" s="2">
        <v>2</v>
      </c>
      <c r="G118" s="2">
        <v>3</v>
      </c>
      <c r="H118">
        <v>319</v>
      </c>
    </row>
    <row r="119" spans="1:8" x14ac:dyDescent="0.25">
      <c r="A119" t="s">
        <v>120</v>
      </c>
      <c r="B119">
        <v>30</v>
      </c>
      <c r="C119">
        <v>34.812137603759773</v>
      </c>
      <c r="D119">
        <f t="shared" si="2"/>
        <v>4.8121376037597727</v>
      </c>
      <c r="E119" t="str">
        <f t="shared" si="3"/>
        <v/>
      </c>
      <c r="F119" s="2">
        <v>2</v>
      </c>
      <c r="G119" s="2">
        <v>3</v>
      </c>
      <c r="H119">
        <v>319</v>
      </c>
    </row>
    <row r="120" spans="1:8" x14ac:dyDescent="0.25">
      <c r="A120" t="s">
        <v>121</v>
      </c>
      <c r="B120">
        <v>30</v>
      </c>
      <c r="C120">
        <v>33.229396820068359</v>
      </c>
      <c r="D120">
        <f t="shared" si="2"/>
        <v>3.2293968200683594</v>
      </c>
      <c r="E120">
        <f t="shared" si="3"/>
        <v>1.1544723510742188</v>
      </c>
      <c r="F120" s="2">
        <v>2</v>
      </c>
      <c r="G120" s="2">
        <v>3</v>
      </c>
      <c r="H120">
        <v>320</v>
      </c>
    </row>
    <row r="121" spans="1:8" x14ac:dyDescent="0.25">
      <c r="A121" t="s">
        <v>122</v>
      </c>
      <c r="B121">
        <v>30</v>
      </c>
      <c r="C121">
        <v>32.074924468994141</v>
      </c>
      <c r="D121">
        <f t="shared" si="2"/>
        <v>2.0749244689941406</v>
      </c>
      <c r="E121" t="str">
        <f t="shared" si="3"/>
        <v/>
      </c>
      <c r="F121" s="2">
        <v>2</v>
      </c>
      <c r="G121" s="2">
        <v>3</v>
      </c>
      <c r="H121">
        <v>320</v>
      </c>
    </row>
  </sheetData>
  <phoneticPr fontId="2" type="noConversion"/>
  <conditionalFormatting sqref="E2:E121">
    <cfRule type="cellIs" dxfId="9" priority="1" operator="between">
      <formula>1000</formula>
      <formula>6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21"/>
  <sheetViews>
    <sheetView topLeftCell="A94" workbookViewId="0">
      <selection activeCell="F123" sqref="F123"/>
    </sheetView>
  </sheetViews>
  <sheetFormatPr defaultRowHeight="15.75" x14ac:dyDescent="0.25"/>
  <cols>
    <col min="1" max="1" width="14" bestFit="1" customWidth="1"/>
    <col min="2" max="2" width="10.5703125" bestFit="1" customWidth="1"/>
    <col min="3" max="3" width="15.5703125" bestFit="1" customWidth="1"/>
    <col min="4" max="5" width="13" bestFit="1" customWidth="1"/>
    <col min="6" max="6" width="27.140625" bestFit="1" customWidth="1"/>
    <col min="8" max="8" width="5.42578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205</v>
      </c>
      <c r="E1" s="1" t="s">
        <v>206</v>
      </c>
      <c r="F1" s="1" t="s">
        <v>230</v>
      </c>
      <c r="G1" s="1" t="s">
        <v>231</v>
      </c>
      <c r="H1" s="1" t="s">
        <v>209</v>
      </c>
    </row>
    <row r="2" spans="1:8" ht="16.5" x14ac:dyDescent="0.25">
      <c r="A2" t="s">
        <v>3</v>
      </c>
      <c r="B2">
        <v>26</v>
      </c>
      <c r="C2">
        <v>29.559831619262699</v>
      </c>
      <c r="D2">
        <f>ABS(C2-B2)</f>
        <v>3.5598316192626989</v>
      </c>
      <c r="E2">
        <f>IF(MOD(ROW(),2)=0,ABS(C2-C3),"")</f>
        <v>1.2230529785156214</v>
      </c>
      <c r="F2" s="3">
        <v>1</v>
      </c>
      <c r="G2" s="2">
        <v>3</v>
      </c>
      <c r="H2">
        <v>101</v>
      </c>
    </row>
    <row r="3" spans="1:8" x14ac:dyDescent="0.25">
      <c r="A3" t="s">
        <v>4</v>
      </c>
      <c r="B3">
        <v>26</v>
      </c>
      <c r="C3">
        <v>30.78288459777832</v>
      </c>
      <c r="D3">
        <f t="shared" ref="D3:D66" si="0">ABS(C3-B3)</f>
        <v>4.7828845977783203</v>
      </c>
      <c r="E3" t="str">
        <f t="shared" ref="E3:E66" si="1">IF(MOD(ROW(),2)=0,ABS(C3-C4),"")</f>
        <v/>
      </c>
      <c r="F3" s="2">
        <v>1</v>
      </c>
      <c r="G3" s="2">
        <v>3</v>
      </c>
      <c r="H3">
        <v>101</v>
      </c>
    </row>
    <row r="4" spans="1:8" x14ac:dyDescent="0.25">
      <c r="A4" t="s">
        <v>5</v>
      </c>
      <c r="B4">
        <v>26</v>
      </c>
      <c r="C4">
        <v>30.341909408569339</v>
      </c>
      <c r="D4">
        <f t="shared" si="0"/>
        <v>4.3419094085693395</v>
      </c>
      <c r="E4">
        <f t="shared" si="1"/>
        <v>6.568336486816051E-2</v>
      </c>
      <c r="F4" s="2">
        <v>1</v>
      </c>
      <c r="G4" s="2">
        <v>3</v>
      </c>
      <c r="H4">
        <v>102</v>
      </c>
    </row>
    <row r="5" spans="1:8" x14ac:dyDescent="0.25">
      <c r="A5" t="s">
        <v>6</v>
      </c>
      <c r="B5">
        <v>26</v>
      </c>
      <c r="C5">
        <v>30.4075927734375</v>
      </c>
      <c r="D5">
        <f t="shared" si="0"/>
        <v>4.4075927734375</v>
      </c>
      <c r="E5" t="str">
        <f t="shared" si="1"/>
        <v/>
      </c>
      <c r="F5" s="2">
        <v>1</v>
      </c>
      <c r="G5" s="2">
        <v>3</v>
      </c>
      <c r="H5">
        <v>102</v>
      </c>
    </row>
    <row r="6" spans="1:8" x14ac:dyDescent="0.25">
      <c r="A6" t="s">
        <v>7</v>
      </c>
      <c r="B6">
        <v>26</v>
      </c>
      <c r="C6">
        <v>30.607931137084961</v>
      </c>
      <c r="D6">
        <f t="shared" si="0"/>
        <v>4.6079311370849609</v>
      </c>
      <c r="E6">
        <f t="shared" si="1"/>
        <v>0.765625</v>
      </c>
      <c r="F6" s="2">
        <v>1</v>
      </c>
      <c r="G6" s="2">
        <v>3</v>
      </c>
      <c r="H6">
        <v>103</v>
      </c>
    </row>
    <row r="7" spans="1:8" x14ac:dyDescent="0.25">
      <c r="A7" t="s">
        <v>8</v>
      </c>
      <c r="B7">
        <v>26</v>
      </c>
      <c r="C7">
        <v>31.373556137084961</v>
      </c>
      <c r="D7">
        <f t="shared" si="0"/>
        <v>5.3735561370849609</v>
      </c>
      <c r="E7" t="str">
        <f t="shared" si="1"/>
        <v/>
      </c>
      <c r="F7" s="2">
        <v>1</v>
      </c>
      <c r="G7" s="2">
        <v>3</v>
      </c>
      <c r="H7">
        <v>103</v>
      </c>
    </row>
    <row r="8" spans="1:8" x14ac:dyDescent="0.25">
      <c r="A8" t="s">
        <v>9</v>
      </c>
      <c r="B8">
        <v>26</v>
      </c>
      <c r="C8">
        <v>30.525075912475589</v>
      </c>
      <c r="D8">
        <f t="shared" si="0"/>
        <v>4.5250759124755895</v>
      </c>
      <c r="E8">
        <f t="shared" si="1"/>
        <v>2.1394748687744105</v>
      </c>
      <c r="F8" s="2">
        <v>1</v>
      </c>
      <c r="G8" s="2">
        <v>3</v>
      </c>
      <c r="H8">
        <v>104</v>
      </c>
    </row>
    <row r="9" spans="1:8" x14ac:dyDescent="0.25">
      <c r="A9" t="s">
        <v>10</v>
      </c>
      <c r="B9">
        <v>26</v>
      </c>
      <c r="C9">
        <v>32.66455078125</v>
      </c>
      <c r="D9">
        <f t="shared" si="0"/>
        <v>6.66455078125</v>
      </c>
      <c r="E9" t="str">
        <f t="shared" si="1"/>
        <v/>
      </c>
      <c r="F9" s="2">
        <v>1</v>
      </c>
      <c r="G9" s="2">
        <v>3</v>
      </c>
      <c r="H9">
        <v>104</v>
      </c>
    </row>
    <row r="10" spans="1:8" x14ac:dyDescent="0.25">
      <c r="A10" t="s">
        <v>11</v>
      </c>
      <c r="B10">
        <v>26</v>
      </c>
      <c r="C10">
        <v>31.704587936401371</v>
      </c>
      <c r="D10">
        <f t="shared" si="0"/>
        <v>5.7045879364013707</v>
      </c>
      <c r="E10">
        <f t="shared" si="1"/>
        <v>0.33203697204590199</v>
      </c>
      <c r="F10" s="2">
        <v>1</v>
      </c>
      <c r="G10" s="2">
        <v>3</v>
      </c>
      <c r="H10">
        <v>105</v>
      </c>
    </row>
    <row r="11" spans="1:8" x14ac:dyDescent="0.25">
      <c r="A11" t="s">
        <v>12</v>
      </c>
      <c r="B11">
        <v>26</v>
      </c>
      <c r="C11">
        <v>31.372550964355469</v>
      </c>
      <c r="D11">
        <f t="shared" si="0"/>
        <v>5.3725509643554688</v>
      </c>
      <c r="E11" t="str">
        <f t="shared" si="1"/>
        <v/>
      </c>
      <c r="F11" s="2">
        <v>1</v>
      </c>
      <c r="G11" s="2">
        <v>3</v>
      </c>
      <c r="H11">
        <v>105</v>
      </c>
    </row>
    <row r="12" spans="1:8" x14ac:dyDescent="0.25">
      <c r="A12" t="s">
        <v>13</v>
      </c>
      <c r="B12">
        <v>26</v>
      </c>
      <c r="C12">
        <v>32.098751068115227</v>
      </c>
      <c r="D12">
        <f t="shared" si="0"/>
        <v>6.0987510681152273</v>
      </c>
      <c r="E12">
        <f t="shared" si="1"/>
        <v>2.3114089965820455</v>
      </c>
      <c r="F12" s="2">
        <v>1</v>
      </c>
      <c r="G12" s="2">
        <v>3</v>
      </c>
      <c r="H12">
        <v>106</v>
      </c>
    </row>
    <row r="13" spans="1:8" x14ac:dyDescent="0.25">
      <c r="A13" t="s">
        <v>14</v>
      </c>
      <c r="B13">
        <v>26</v>
      </c>
      <c r="C13">
        <v>34.410160064697273</v>
      </c>
      <c r="D13">
        <f t="shared" si="0"/>
        <v>8.4101600646972727</v>
      </c>
      <c r="E13" t="str">
        <f t="shared" si="1"/>
        <v/>
      </c>
      <c r="F13" s="2">
        <v>1</v>
      </c>
      <c r="G13" s="2">
        <v>3</v>
      </c>
      <c r="H13">
        <v>106</v>
      </c>
    </row>
    <row r="14" spans="1:8" x14ac:dyDescent="0.25">
      <c r="A14" t="s">
        <v>15</v>
      </c>
      <c r="B14">
        <v>26</v>
      </c>
      <c r="C14">
        <v>31.382619857788089</v>
      </c>
      <c r="D14">
        <f t="shared" si="0"/>
        <v>5.3826198577880895</v>
      </c>
      <c r="E14">
        <f t="shared" si="1"/>
        <v>0.79252815246582387</v>
      </c>
      <c r="F14" s="2">
        <v>1</v>
      </c>
      <c r="G14" s="2">
        <v>3</v>
      </c>
      <c r="H14">
        <v>107</v>
      </c>
    </row>
    <row r="15" spans="1:8" x14ac:dyDescent="0.25">
      <c r="A15" t="s">
        <v>16</v>
      </c>
      <c r="B15">
        <v>26</v>
      </c>
      <c r="C15">
        <v>32.175148010253913</v>
      </c>
      <c r="D15">
        <f t="shared" si="0"/>
        <v>6.1751480102539134</v>
      </c>
      <c r="E15" t="str">
        <f t="shared" si="1"/>
        <v/>
      </c>
      <c r="F15" s="2">
        <v>1</v>
      </c>
      <c r="G15" s="2">
        <v>3</v>
      </c>
      <c r="H15">
        <v>107</v>
      </c>
    </row>
    <row r="16" spans="1:8" x14ac:dyDescent="0.25">
      <c r="A16" t="s">
        <v>17</v>
      </c>
      <c r="B16">
        <v>26</v>
      </c>
      <c r="C16">
        <v>32.037956237792969</v>
      </c>
      <c r="D16">
        <f t="shared" si="0"/>
        <v>6.0379562377929688</v>
      </c>
      <c r="E16">
        <f t="shared" si="1"/>
        <v>0.83910179138183949</v>
      </c>
      <c r="F16" s="2">
        <v>1</v>
      </c>
      <c r="G16" s="2">
        <v>3</v>
      </c>
      <c r="H16">
        <v>108</v>
      </c>
    </row>
    <row r="17" spans="1:8" x14ac:dyDescent="0.25">
      <c r="A17" t="s">
        <v>18</v>
      </c>
      <c r="B17">
        <v>26</v>
      </c>
      <c r="C17">
        <v>31.198854446411129</v>
      </c>
      <c r="D17">
        <f t="shared" si="0"/>
        <v>5.1988544464111293</v>
      </c>
      <c r="E17" t="str">
        <f t="shared" si="1"/>
        <v/>
      </c>
      <c r="F17" s="2">
        <v>1</v>
      </c>
      <c r="G17" s="2">
        <v>3</v>
      </c>
      <c r="H17">
        <v>108</v>
      </c>
    </row>
    <row r="18" spans="1:8" x14ac:dyDescent="0.25">
      <c r="A18" t="s">
        <v>19</v>
      </c>
      <c r="B18">
        <v>26</v>
      </c>
      <c r="C18">
        <v>33.200286865234382</v>
      </c>
      <c r="D18">
        <f t="shared" si="0"/>
        <v>7.2002868652343821</v>
      </c>
      <c r="E18">
        <f t="shared" si="1"/>
        <v>1.8061828613281321</v>
      </c>
      <c r="F18" s="2">
        <v>1</v>
      </c>
      <c r="G18" s="2">
        <v>3</v>
      </c>
      <c r="H18">
        <v>109</v>
      </c>
    </row>
    <row r="19" spans="1:8" x14ac:dyDescent="0.25">
      <c r="A19" t="s">
        <v>20</v>
      </c>
      <c r="B19">
        <v>26</v>
      </c>
      <c r="C19">
        <v>31.39410400390625</v>
      </c>
      <c r="D19">
        <f t="shared" si="0"/>
        <v>5.39410400390625</v>
      </c>
      <c r="E19" t="str">
        <f t="shared" si="1"/>
        <v/>
      </c>
      <c r="F19" s="2">
        <v>1</v>
      </c>
      <c r="G19" s="2">
        <v>3</v>
      </c>
      <c r="H19">
        <v>109</v>
      </c>
    </row>
    <row r="20" spans="1:8" x14ac:dyDescent="0.25">
      <c r="A20" t="s">
        <v>21</v>
      </c>
      <c r="B20">
        <v>26</v>
      </c>
      <c r="C20">
        <v>33.388648986816413</v>
      </c>
      <c r="D20">
        <f t="shared" si="0"/>
        <v>7.3886489868164134</v>
      </c>
      <c r="E20">
        <f t="shared" si="1"/>
        <v>2.0244312286377024</v>
      </c>
      <c r="F20" s="2">
        <v>1</v>
      </c>
      <c r="G20" s="2">
        <v>3</v>
      </c>
      <c r="H20">
        <v>110</v>
      </c>
    </row>
    <row r="21" spans="1:8" x14ac:dyDescent="0.25">
      <c r="A21" t="s">
        <v>22</v>
      </c>
      <c r="B21">
        <v>26</v>
      </c>
      <c r="C21">
        <v>31.364217758178711</v>
      </c>
      <c r="D21">
        <f t="shared" si="0"/>
        <v>5.3642177581787109</v>
      </c>
      <c r="E21" t="str">
        <f t="shared" si="1"/>
        <v/>
      </c>
      <c r="F21" s="2">
        <v>1</v>
      </c>
      <c r="G21" s="2">
        <v>3</v>
      </c>
      <c r="H21">
        <v>110</v>
      </c>
    </row>
    <row r="22" spans="1:8" x14ac:dyDescent="0.25">
      <c r="A22" t="s">
        <v>23</v>
      </c>
      <c r="B22">
        <v>26</v>
      </c>
      <c r="C22">
        <v>31.844158172607418</v>
      </c>
      <c r="D22">
        <f t="shared" si="0"/>
        <v>5.8441581726074183</v>
      </c>
      <c r="E22">
        <f t="shared" si="1"/>
        <v>0.29349899291991832</v>
      </c>
      <c r="F22" s="2">
        <v>1</v>
      </c>
      <c r="G22" s="2">
        <v>3</v>
      </c>
      <c r="H22">
        <v>111</v>
      </c>
    </row>
    <row r="23" spans="1:8" x14ac:dyDescent="0.25">
      <c r="A23" t="s">
        <v>24</v>
      </c>
      <c r="B23">
        <v>26</v>
      </c>
      <c r="C23">
        <v>32.137657165527337</v>
      </c>
      <c r="D23">
        <f t="shared" si="0"/>
        <v>6.1376571655273366</v>
      </c>
      <c r="E23" t="str">
        <f t="shared" si="1"/>
        <v/>
      </c>
      <c r="F23" s="2">
        <v>1</v>
      </c>
      <c r="G23" s="2">
        <v>3</v>
      </c>
      <c r="H23">
        <v>111</v>
      </c>
    </row>
    <row r="24" spans="1:8" x14ac:dyDescent="0.25">
      <c r="A24" t="s">
        <v>25</v>
      </c>
      <c r="B24">
        <v>26</v>
      </c>
      <c r="C24">
        <v>31.292356491088871</v>
      </c>
      <c r="D24">
        <f t="shared" si="0"/>
        <v>5.2923564910888707</v>
      </c>
      <c r="E24">
        <f t="shared" si="1"/>
        <v>1.920221328735348</v>
      </c>
      <c r="F24" s="2">
        <v>1</v>
      </c>
      <c r="G24" s="2">
        <v>3</v>
      </c>
      <c r="H24">
        <v>112</v>
      </c>
    </row>
    <row r="25" spans="1:8" x14ac:dyDescent="0.25">
      <c r="A25" t="s">
        <v>26</v>
      </c>
      <c r="B25">
        <v>26</v>
      </c>
      <c r="C25">
        <v>33.212577819824219</v>
      </c>
      <c r="D25">
        <f t="shared" si="0"/>
        <v>7.2125778198242188</v>
      </c>
      <c r="E25" t="str">
        <f t="shared" si="1"/>
        <v/>
      </c>
      <c r="F25" s="2">
        <v>1</v>
      </c>
      <c r="G25" s="2">
        <v>3</v>
      </c>
      <c r="H25">
        <v>112</v>
      </c>
    </row>
    <row r="26" spans="1:8" x14ac:dyDescent="0.25">
      <c r="A26" t="s">
        <v>27</v>
      </c>
      <c r="B26">
        <v>26</v>
      </c>
      <c r="C26">
        <v>31.896402359008789</v>
      </c>
      <c r="D26">
        <f t="shared" si="0"/>
        <v>5.8964023590087891</v>
      </c>
      <c r="E26">
        <f t="shared" si="1"/>
        <v>2.7110538482666016</v>
      </c>
      <c r="F26" s="2">
        <v>1</v>
      </c>
      <c r="G26" s="2">
        <v>3</v>
      </c>
      <c r="H26">
        <v>113</v>
      </c>
    </row>
    <row r="27" spans="1:8" x14ac:dyDescent="0.25">
      <c r="A27" t="s">
        <v>28</v>
      </c>
      <c r="B27">
        <v>26</v>
      </c>
      <c r="C27">
        <v>34.607456207275391</v>
      </c>
      <c r="D27">
        <f t="shared" si="0"/>
        <v>8.6074562072753906</v>
      </c>
      <c r="E27" t="str">
        <f t="shared" si="1"/>
        <v/>
      </c>
      <c r="F27" s="2">
        <v>1</v>
      </c>
      <c r="G27" s="2">
        <v>3</v>
      </c>
      <c r="H27">
        <v>113</v>
      </c>
    </row>
    <row r="28" spans="1:8" x14ac:dyDescent="0.25">
      <c r="A28" t="s">
        <v>29</v>
      </c>
      <c r="B28">
        <v>26</v>
      </c>
      <c r="C28">
        <v>31.150680541992191</v>
      </c>
      <c r="D28">
        <f t="shared" si="0"/>
        <v>5.1506805419921911</v>
      </c>
      <c r="E28">
        <f t="shared" si="1"/>
        <v>2.0558280944824183</v>
      </c>
      <c r="F28" s="2">
        <v>1</v>
      </c>
      <c r="G28" s="2">
        <v>3</v>
      </c>
      <c r="H28">
        <v>114</v>
      </c>
    </row>
    <row r="29" spans="1:8" x14ac:dyDescent="0.25">
      <c r="A29" t="s">
        <v>30</v>
      </c>
      <c r="B29">
        <v>26</v>
      </c>
      <c r="C29">
        <v>33.206508636474609</v>
      </c>
      <c r="D29">
        <f t="shared" si="0"/>
        <v>7.2065086364746094</v>
      </c>
      <c r="E29" t="str">
        <f t="shared" si="1"/>
        <v/>
      </c>
      <c r="F29" s="2">
        <v>1</v>
      </c>
      <c r="G29" s="2">
        <v>3</v>
      </c>
      <c r="H29">
        <v>114</v>
      </c>
    </row>
    <row r="30" spans="1:8" x14ac:dyDescent="0.25">
      <c r="A30" t="s">
        <v>31</v>
      </c>
      <c r="B30">
        <v>26</v>
      </c>
      <c r="C30">
        <v>34.207977294921882</v>
      </c>
      <c r="D30">
        <f t="shared" si="0"/>
        <v>8.2079772949218821</v>
      </c>
      <c r="E30">
        <f t="shared" si="1"/>
        <v>0.16077423095704546</v>
      </c>
      <c r="F30" s="2">
        <v>1</v>
      </c>
      <c r="G30" s="2">
        <v>3</v>
      </c>
      <c r="H30">
        <v>115</v>
      </c>
    </row>
    <row r="31" spans="1:8" x14ac:dyDescent="0.25">
      <c r="A31" t="s">
        <v>32</v>
      </c>
      <c r="B31">
        <v>26</v>
      </c>
      <c r="C31">
        <v>34.047203063964837</v>
      </c>
      <c r="D31">
        <f t="shared" si="0"/>
        <v>8.0472030639648366</v>
      </c>
      <c r="E31" t="str">
        <f t="shared" si="1"/>
        <v/>
      </c>
      <c r="F31" s="2">
        <v>1</v>
      </c>
      <c r="G31" s="2">
        <v>3</v>
      </c>
      <c r="H31">
        <v>115</v>
      </c>
    </row>
    <row r="32" spans="1:8" x14ac:dyDescent="0.25">
      <c r="A32" t="s">
        <v>33</v>
      </c>
      <c r="B32">
        <v>26</v>
      </c>
      <c r="C32">
        <v>32.478469848632813</v>
      </c>
      <c r="D32">
        <f t="shared" si="0"/>
        <v>6.4784698486328125</v>
      </c>
      <c r="E32">
        <f t="shared" si="1"/>
        <v>1.7514419555664063</v>
      </c>
      <c r="F32" s="2">
        <v>1</v>
      </c>
      <c r="G32" s="2">
        <v>3</v>
      </c>
      <c r="H32">
        <v>116</v>
      </c>
    </row>
    <row r="33" spans="1:8" x14ac:dyDescent="0.25">
      <c r="A33" t="s">
        <v>34</v>
      </c>
      <c r="B33">
        <v>26</v>
      </c>
      <c r="C33">
        <v>34.229911804199219</v>
      </c>
      <c r="D33">
        <f t="shared" si="0"/>
        <v>8.2299118041992188</v>
      </c>
      <c r="E33" t="str">
        <f t="shared" si="1"/>
        <v/>
      </c>
      <c r="F33" s="2">
        <v>1</v>
      </c>
      <c r="G33" s="2">
        <v>3</v>
      </c>
      <c r="H33">
        <v>116</v>
      </c>
    </row>
    <row r="34" spans="1:8" x14ac:dyDescent="0.25">
      <c r="A34" t="s">
        <v>35</v>
      </c>
      <c r="B34">
        <v>26</v>
      </c>
      <c r="C34">
        <v>32.598075866699219</v>
      </c>
      <c r="D34">
        <f t="shared" si="0"/>
        <v>6.5980758666992188</v>
      </c>
      <c r="E34">
        <f t="shared" si="1"/>
        <v>4.2224884033203125E-2</v>
      </c>
      <c r="F34" s="2">
        <v>1</v>
      </c>
      <c r="G34" s="2">
        <v>3</v>
      </c>
      <c r="H34">
        <v>117</v>
      </c>
    </row>
    <row r="35" spans="1:8" x14ac:dyDescent="0.25">
      <c r="A35" t="s">
        <v>36</v>
      </c>
      <c r="B35">
        <v>26</v>
      </c>
      <c r="C35">
        <v>32.640300750732422</v>
      </c>
      <c r="D35">
        <f t="shared" si="0"/>
        <v>6.6403007507324219</v>
      </c>
      <c r="E35" t="str">
        <f t="shared" si="1"/>
        <v/>
      </c>
      <c r="F35" s="2">
        <v>1</v>
      </c>
      <c r="G35" s="2">
        <v>3</v>
      </c>
      <c r="H35">
        <v>117</v>
      </c>
    </row>
    <row r="36" spans="1:8" x14ac:dyDescent="0.25">
      <c r="A36" t="s">
        <v>37</v>
      </c>
      <c r="B36">
        <v>26</v>
      </c>
      <c r="C36">
        <v>31.90928840637207</v>
      </c>
      <c r="D36">
        <f t="shared" si="0"/>
        <v>5.9092884063720703</v>
      </c>
      <c r="E36">
        <f t="shared" si="1"/>
        <v>1.1188564300537109</v>
      </c>
      <c r="F36" s="2">
        <v>1</v>
      </c>
      <c r="G36" s="2">
        <v>3</v>
      </c>
      <c r="H36">
        <v>118</v>
      </c>
    </row>
    <row r="37" spans="1:8" x14ac:dyDescent="0.25">
      <c r="A37" t="s">
        <v>38</v>
      </c>
      <c r="B37">
        <v>26</v>
      </c>
      <c r="C37">
        <v>33.028144836425781</v>
      </c>
      <c r="D37">
        <f t="shared" si="0"/>
        <v>7.0281448364257813</v>
      </c>
      <c r="E37" t="str">
        <f t="shared" si="1"/>
        <v/>
      </c>
      <c r="F37" s="2">
        <v>1</v>
      </c>
      <c r="G37" s="2">
        <v>3</v>
      </c>
      <c r="H37">
        <v>118</v>
      </c>
    </row>
    <row r="38" spans="1:8" x14ac:dyDescent="0.25">
      <c r="A38" t="s">
        <v>39</v>
      </c>
      <c r="B38">
        <v>26</v>
      </c>
      <c r="C38">
        <v>32.871440887451172</v>
      </c>
      <c r="D38">
        <f t="shared" si="0"/>
        <v>6.8714408874511719</v>
      </c>
      <c r="E38">
        <f t="shared" si="1"/>
        <v>0.32574844360350852</v>
      </c>
      <c r="F38" s="2">
        <v>1</v>
      </c>
      <c r="G38" s="2">
        <v>3</v>
      </c>
      <c r="H38">
        <v>119</v>
      </c>
    </row>
    <row r="39" spans="1:8" x14ac:dyDescent="0.25">
      <c r="A39" t="s">
        <v>40</v>
      </c>
      <c r="B39">
        <v>26</v>
      </c>
      <c r="C39">
        <v>32.545692443847663</v>
      </c>
      <c r="D39">
        <f t="shared" si="0"/>
        <v>6.5456924438476634</v>
      </c>
      <c r="E39" t="str">
        <f t="shared" si="1"/>
        <v/>
      </c>
      <c r="F39" s="2">
        <v>1</v>
      </c>
      <c r="G39" s="2">
        <v>3</v>
      </c>
      <c r="H39">
        <v>119</v>
      </c>
    </row>
    <row r="40" spans="1:8" x14ac:dyDescent="0.25">
      <c r="A40" t="s">
        <v>41</v>
      </c>
      <c r="B40">
        <v>26</v>
      </c>
      <c r="C40">
        <v>32.829723358154297</v>
      </c>
      <c r="D40">
        <f t="shared" si="0"/>
        <v>6.8297233581542969</v>
      </c>
      <c r="E40">
        <f t="shared" si="1"/>
        <v>1.7282409667968786</v>
      </c>
      <c r="F40" s="2">
        <v>1</v>
      </c>
      <c r="G40" s="2">
        <v>3</v>
      </c>
      <c r="H40">
        <v>120</v>
      </c>
    </row>
    <row r="41" spans="1:8" x14ac:dyDescent="0.25">
      <c r="A41" t="s">
        <v>42</v>
      </c>
      <c r="B41">
        <v>26</v>
      </c>
      <c r="C41">
        <v>31.101482391357418</v>
      </c>
      <c r="D41">
        <f t="shared" si="0"/>
        <v>5.1014823913574183</v>
      </c>
      <c r="E41" t="str">
        <f t="shared" si="1"/>
        <v/>
      </c>
      <c r="F41" s="2">
        <v>1</v>
      </c>
      <c r="G41" s="2">
        <v>3</v>
      </c>
      <c r="H41">
        <v>120</v>
      </c>
    </row>
    <row r="42" spans="1:8" x14ac:dyDescent="0.25">
      <c r="A42" t="s">
        <v>43</v>
      </c>
      <c r="B42">
        <v>31</v>
      </c>
      <c r="C42">
        <v>32.977561950683587</v>
      </c>
      <c r="D42">
        <f t="shared" si="0"/>
        <v>1.9775619506835866</v>
      </c>
      <c r="E42">
        <f t="shared" si="1"/>
        <v>2.4525260925292862</v>
      </c>
      <c r="F42" s="2">
        <v>1</v>
      </c>
      <c r="G42" s="2">
        <v>3</v>
      </c>
      <c r="H42">
        <v>201</v>
      </c>
    </row>
    <row r="43" spans="1:8" x14ac:dyDescent="0.25">
      <c r="A43" t="s">
        <v>44</v>
      </c>
      <c r="B43">
        <v>31</v>
      </c>
      <c r="C43">
        <v>30.5250358581543</v>
      </c>
      <c r="D43">
        <f t="shared" si="0"/>
        <v>0.47496414184569957</v>
      </c>
      <c r="E43" t="str">
        <f t="shared" si="1"/>
        <v/>
      </c>
      <c r="F43" s="2">
        <v>1</v>
      </c>
      <c r="G43" s="2">
        <v>3</v>
      </c>
      <c r="H43">
        <v>201</v>
      </c>
    </row>
    <row r="44" spans="1:8" x14ac:dyDescent="0.25">
      <c r="A44" t="s">
        <v>45</v>
      </c>
      <c r="B44">
        <v>31</v>
      </c>
      <c r="C44">
        <v>31.235153198242191</v>
      </c>
      <c r="D44">
        <f t="shared" si="0"/>
        <v>0.23515319824219105</v>
      </c>
      <c r="E44">
        <f t="shared" si="1"/>
        <v>1.1611557006835902</v>
      </c>
      <c r="F44" s="2">
        <v>1</v>
      </c>
      <c r="G44" s="2">
        <v>3</v>
      </c>
      <c r="H44">
        <v>202</v>
      </c>
    </row>
    <row r="45" spans="1:8" x14ac:dyDescent="0.25">
      <c r="A45" t="s">
        <v>46</v>
      </c>
      <c r="B45">
        <v>31</v>
      </c>
      <c r="C45">
        <v>32.396308898925781</v>
      </c>
      <c r="D45">
        <f t="shared" si="0"/>
        <v>1.3963088989257813</v>
      </c>
      <c r="E45" t="str">
        <f t="shared" si="1"/>
        <v/>
      </c>
      <c r="F45" s="2">
        <v>1</v>
      </c>
      <c r="G45" s="2">
        <v>3</v>
      </c>
      <c r="H45">
        <v>202</v>
      </c>
    </row>
    <row r="46" spans="1:8" x14ac:dyDescent="0.25">
      <c r="A46" t="s">
        <v>47</v>
      </c>
      <c r="B46">
        <v>31</v>
      </c>
      <c r="C46">
        <v>31.634904861450199</v>
      </c>
      <c r="D46">
        <f t="shared" si="0"/>
        <v>0.63490486145019887</v>
      </c>
      <c r="E46">
        <f t="shared" si="1"/>
        <v>0.15639686584471946</v>
      </c>
      <c r="F46" s="2">
        <v>1</v>
      </c>
      <c r="G46" s="2">
        <v>3</v>
      </c>
      <c r="H46">
        <v>203</v>
      </c>
    </row>
    <row r="47" spans="1:8" x14ac:dyDescent="0.25">
      <c r="A47" t="s">
        <v>48</v>
      </c>
      <c r="B47">
        <v>31</v>
      </c>
      <c r="C47">
        <v>31.791301727294918</v>
      </c>
      <c r="D47">
        <f t="shared" si="0"/>
        <v>0.79130172729491832</v>
      </c>
      <c r="E47" t="str">
        <f t="shared" si="1"/>
        <v/>
      </c>
      <c r="F47" s="2">
        <v>1</v>
      </c>
      <c r="G47" s="2">
        <v>3</v>
      </c>
      <c r="H47">
        <v>203</v>
      </c>
    </row>
    <row r="48" spans="1:8" x14ac:dyDescent="0.25">
      <c r="A48" t="s">
        <v>49</v>
      </c>
      <c r="B48">
        <v>31</v>
      </c>
      <c r="C48">
        <v>31.877216339111332</v>
      </c>
      <c r="D48">
        <f t="shared" si="0"/>
        <v>0.87721633911133168</v>
      </c>
      <c r="E48">
        <f t="shared" si="1"/>
        <v>0.58935356140137074</v>
      </c>
      <c r="F48" s="2">
        <v>1</v>
      </c>
      <c r="G48" s="2">
        <v>3</v>
      </c>
      <c r="H48">
        <v>204</v>
      </c>
    </row>
    <row r="49" spans="1:8" x14ac:dyDescent="0.25">
      <c r="A49" t="s">
        <v>50</v>
      </c>
      <c r="B49">
        <v>31</v>
      </c>
      <c r="C49">
        <v>31.287862777709961</v>
      </c>
      <c r="D49">
        <f t="shared" si="0"/>
        <v>0.28786277770996094</v>
      </c>
      <c r="E49" t="str">
        <f t="shared" si="1"/>
        <v/>
      </c>
      <c r="F49" s="2">
        <v>1</v>
      </c>
      <c r="G49" s="2">
        <v>3</v>
      </c>
      <c r="H49">
        <v>204</v>
      </c>
    </row>
    <row r="50" spans="1:8" x14ac:dyDescent="0.25">
      <c r="A50" t="s">
        <v>51</v>
      </c>
      <c r="B50">
        <v>31</v>
      </c>
      <c r="C50">
        <v>30.511972427368161</v>
      </c>
      <c r="D50">
        <f t="shared" si="0"/>
        <v>0.48802757263183949</v>
      </c>
      <c r="E50">
        <f t="shared" si="1"/>
        <v>0.32114601135253906</v>
      </c>
      <c r="F50" s="2">
        <v>1</v>
      </c>
      <c r="G50" s="2">
        <v>3</v>
      </c>
      <c r="H50">
        <v>205</v>
      </c>
    </row>
    <row r="51" spans="1:8" x14ac:dyDescent="0.25">
      <c r="A51" t="s">
        <v>52</v>
      </c>
      <c r="B51">
        <v>31</v>
      </c>
      <c r="C51">
        <v>30.8331184387207</v>
      </c>
      <c r="D51">
        <f t="shared" si="0"/>
        <v>0.16688156127930043</v>
      </c>
      <c r="E51" t="str">
        <f t="shared" si="1"/>
        <v/>
      </c>
      <c r="F51" s="2">
        <v>1</v>
      </c>
      <c r="G51" s="2">
        <v>3</v>
      </c>
      <c r="H51">
        <v>205</v>
      </c>
    </row>
    <row r="52" spans="1:8" x14ac:dyDescent="0.25">
      <c r="A52" t="s">
        <v>53</v>
      </c>
      <c r="B52">
        <v>31</v>
      </c>
      <c r="C52">
        <v>29.20849609375</v>
      </c>
      <c r="D52">
        <f t="shared" si="0"/>
        <v>1.79150390625</v>
      </c>
      <c r="E52">
        <f t="shared" si="1"/>
        <v>1.0545139312744105</v>
      </c>
      <c r="F52" s="2">
        <v>1</v>
      </c>
      <c r="G52" s="2">
        <v>3</v>
      </c>
      <c r="H52">
        <v>206</v>
      </c>
    </row>
    <row r="53" spans="1:8" x14ac:dyDescent="0.25">
      <c r="A53" t="s">
        <v>54</v>
      </c>
      <c r="B53">
        <v>31</v>
      </c>
      <c r="C53">
        <v>30.263010025024411</v>
      </c>
      <c r="D53">
        <f t="shared" si="0"/>
        <v>0.73698997497558949</v>
      </c>
      <c r="E53" t="str">
        <f t="shared" si="1"/>
        <v/>
      </c>
      <c r="F53" s="2">
        <v>1</v>
      </c>
      <c r="G53" s="2">
        <v>3</v>
      </c>
      <c r="H53">
        <v>206</v>
      </c>
    </row>
    <row r="54" spans="1:8" x14ac:dyDescent="0.25">
      <c r="A54" t="s">
        <v>55</v>
      </c>
      <c r="B54">
        <v>31</v>
      </c>
      <c r="C54">
        <v>31.6883544921875</v>
      </c>
      <c r="D54">
        <f t="shared" si="0"/>
        <v>0.6883544921875</v>
      </c>
      <c r="E54">
        <f t="shared" si="1"/>
        <v>1.3793621063232386</v>
      </c>
      <c r="F54" s="2">
        <v>1</v>
      </c>
      <c r="G54" s="2">
        <v>3</v>
      </c>
      <c r="H54">
        <v>207</v>
      </c>
    </row>
    <row r="55" spans="1:8" x14ac:dyDescent="0.25">
      <c r="A55" t="s">
        <v>56</v>
      </c>
      <c r="B55">
        <v>31</v>
      </c>
      <c r="C55">
        <v>30.308992385864261</v>
      </c>
      <c r="D55">
        <f t="shared" si="0"/>
        <v>0.69100761413573863</v>
      </c>
      <c r="E55" t="str">
        <f t="shared" si="1"/>
        <v/>
      </c>
      <c r="F55" s="2">
        <v>1</v>
      </c>
      <c r="G55" s="2">
        <v>3</v>
      </c>
      <c r="H55">
        <v>207</v>
      </c>
    </row>
    <row r="56" spans="1:8" x14ac:dyDescent="0.25">
      <c r="A56" t="s">
        <v>57</v>
      </c>
      <c r="B56">
        <v>31</v>
      </c>
      <c r="C56">
        <v>31.705556869506839</v>
      </c>
      <c r="D56">
        <f t="shared" si="0"/>
        <v>0.70555686950683949</v>
      </c>
      <c r="E56">
        <f t="shared" si="1"/>
        <v>1.3739013671875</v>
      </c>
      <c r="F56" s="2">
        <v>1</v>
      </c>
      <c r="G56" s="2">
        <v>3</v>
      </c>
      <c r="H56">
        <v>208</v>
      </c>
    </row>
    <row r="57" spans="1:8" x14ac:dyDescent="0.25">
      <c r="A57" t="s">
        <v>58</v>
      </c>
      <c r="B57">
        <v>31</v>
      </c>
      <c r="C57">
        <v>30.331655502319339</v>
      </c>
      <c r="D57">
        <f t="shared" si="0"/>
        <v>0.66834449768066051</v>
      </c>
      <c r="E57" t="str">
        <f t="shared" si="1"/>
        <v/>
      </c>
      <c r="F57" s="2">
        <v>1</v>
      </c>
      <c r="G57" s="2">
        <v>3</v>
      </c>
      <c r="H57">
        <v>208</v>
      </c>
    </row>
    <row r="58" spans="1:8" x14ac:dyDescent="0.25">
      <c r="A58" t="s">
        <v>59</v>
      </c>
      <c r="B58">
        <v>31</v>
      </c>
      <c r="C58">
        <v>29.76265907287598</v>
      </c>
      <c r="D58">
        <f t="shared" si="0"/>
        <v>1.2373409271240199</v>
      </c>
      <c r="E58">
        <f t="shared" si="1"/>
        <v>1.2449855804443395</v>
      </c>
      <c r="F58" s="2">
        <v>1</v>
      </c>
      <c r="G58" s="2">
        <v>3</v>
      </c>
      <c r="H58">
        <v>209</v>
      </c>
    </row>
    <row r="59" spans="1:8" x14ac:dyDescent="0.25">
      <c r="A59" t="s">
        <v>60</v>
      </c>
      <c r="B59">
        <v>31</v>
      </c>
      <c r="C59">
        <v>28.517673492431641</v>
      </c>
      <c r="D59">
        <f t="shared" si="0"/>
        <v>2.4823265075683594</v>
      </c>
      <c r="E59" t="str">
        <f t="shared" si="1"/>
        <v/>
      </c>
      <c r="F59" s="2">
        <v>1</v>
      </c>
      <c r="G59" s="2">
        <v>3</v>
      </c>
      <c r="H59">
        <v>209</v>
      </c>
    </row>
    <row r="60" spans="1:8" x14ac:dyDescent="0.25">
      <c r="A60" t="s">
        <v>61</v>
      </c>
      <c r="B60">
        <v>31</v>
      </c>
      <c r="C60">
        <v>30.81599044799805</v>
      </c>
      <c r="D60">
        <f t="shared" si="0"/>
        <v>0.18400955200194957</v>
      </c>
      <c r="E60">
        <f t="shared" si="1"/>
        <v>0.10884666442871094</v>
      </c>
      <c r="F60" s="2">
        <v>1</v>
      </c>
      <c r="G60" s="2">
        <v>3</v>
      </c>
      <c r="H60">
        <v>210</v>
      </c>
    </row>
    <row r="61" spans="1:8" x14ac:dyDescent="0.25">
      <c r="A61" t="s">
        <v>62</v>
      </c>
      <c r="B61">
        <v>31</v>
      </c>
      <c r="C61">
        <v>30.707143783569339</v>
      </c>
      <c r="D61">
        <f t="shared" si="0"/>
        <v>0.29285621643066051</v>
      </c>
      <c r="E61" t="str">
        <f t="shared" si="1"/>
        <v/>
      </c>
      <c r="F61" s="2">
        <v>1</v>
      </c>
      <c r="G61" s="2">
        <v>3</v>
      </c>
      <c r="H61">
        <v>210</v>
      </c>
    </row>
    <row r="62" spans="1:8" x14ac:dyDescent="0.25">
      <c r="A62" t="s">
        <v>63</v>
      </c>
      <c r="B62">
        <v>31</v>
      </c>
      <c r="C62">
        <v>32.570545196533203</v>
      </c>
      <c r="D62">
        <f t="shared" si="0"/>
        <v>1.5705451965332031</v>
      </c>
      <c r="E62">
        <f t="shared" si="1"/>
        <v>2.8425483703613246</v>
      </c>
      <c r="F62" s="2">
        <v>1</v>
      </c>
      <c r="G62" s="2">
        <v>3</v>
      </c>
      <c r="H62">
        <v>211</v>
      </c>
    </row>
    <row r="63" spans="1:8" x14ac:dyDescent="0.25">
      <c r="A63" t="s">
        <v>64</v>
      </c>
      <c r="B63">
        <v>31</v>
      </c>
      <c r="C63">
        <v>29.727996826171879</v>
      </c>
      <c r="D63">
        <f t="shared" si="0"/>
        <v>1.2720031738281214</v>
      </c>
      <c r="E63" t="str">
        <f t="shared" si="1"/>
        <v/>
      </c>
      <c r="F63" s="2">
        <v>1</v>
      </c>
      <c r="G63" s="2">
        <v>3</v>
      </c>
      <c r="H63">
        <v>211</v>
      </c>
    </row>
    <row r="64" spans="1:8" x14ac:dyDescent="0.25">
      <c r="A64" t="s">
        <v>65</v>
      </c>
      <c r="B64">
        <v>31</v>
      </c>
      <c r="C64">
        <v>32.151149749755859</v>
      </c>
      <c r="D64">
        <f t="shared" si="0"/>
        <v>1.1511497497558594</v>
      </c>
      <c r="E64">
        <f t="shared" si="1"/>
        <v>1.5935592651367188</v>
      </c>
      <c r="F64" s="2">
        <v>1</v>
      </c>
      <c r="G64" s="2">
        <v>3</v>
      </c>
      <c r="H64">
        <v>212</v>
      </c>
    </row>
    <row r="65" spans="1:8" x14ac:dyDescent="0.25">
      <c r="A65" t="s">
        <v>66</v>
      </c>
      <c r="B65">
        <v>31</v>
      </c>
      <c r="C65">
        <v>30.557590484619141</v>
      </c>
      <c r="D65">
        <f t="shared" si="0"/>
        <v>0.44240951538085938</v>
      </c>
      <c r="E65" t="str">
        <f t="shared" si="1"/>
        <v/>
      </c>
      <c r="F65" s="2">
        <v>1</v>
      </c>
      <c r="G65" s="2">
        <v>3</v>
      </c>
      <c r="H65">
        <v>212</v>
      </c>
    </row>
    <row r="66" spans="1:8" x14ac:dyDescent="0.25">
      <c r="A66" t="s">
        <v>67</v>
      </c>
      <c r="B66">
        <v>31</v>
      </c>
      <c r="C66">
        <v>31.426534652709961</v>
      </c>
      <c r="D66">
        <f t="shared" si="0"/>
        <v>0.42653465270996094</v>
      </c>
      <c r="E66">
        <f t="shared" si="1"/>
        <v>1.4666519165039098</v>
      </c>
      <c r="F66" s="2">
        <v>1</v>
      </c>
      <c r="G66" s="2">
        <v>3</v>
      </c>
      <c r="H66">
        <v>213</v>
      </c>
    </row>
    <row r="67" spans="1:8" x14ac:dyDescent="0.25">
      <c r="A67" t="s">
        <v>68</v>
      </c>
      <c r="B67">
        <v>31</v>
      </c>
      <c r="C67">
        <v>29.959882736206051</v>
      </c>
      <c r="D67">
        <f t="shared" ref="D67:D121" si="2">ABS(C67-B67)</f>
        <v>1.0401172637939489</v>
      </c>
      <c r="E67" t="str">
        <f t="shared" ref="E67:E121" si="3">IF(MOD(ROW(),2)=0,ABS(C67-C68),"")</f>
        <v/>
      </c>
      <c r="F67" s="2">
        <v>1</v>
      </c>
      <c r="G67" s="2">
        <v>3</v>
      </c>
      <c r="H67">
        <v>213</v>
      </c>
    </row>
    <row r="68" spans="1:8" x14ac:dyDescent="0.25">
      <c r="A68" t="s">
        <v>69</v>
      </c>
      <c r="B68">
        <v>31</v>
      </c>
      <c r="C68">
        <v>29.528694152832031</v>
      </c>
      <c r="D68">
        <f t="shared" si="2"/>
        <v>1.4713058471679688</v>
      </c>
      <c r="E68">
        <f t="shared" si="3"/>
        <v>1.1015377044677699</v>
      </c>
      <c r="F68" s="2">
        <v>1</v>
      </c>
      <c r="G68" s="2">
        <v>3</v>
      </c>
      <c r="H68">
        <v>214</v>
      </c>
    </row>
    <row r="69" spans="1:8" x14ac:dyDescent="0.25">
      <c r="A69" t="s">
        <v>70</v>
      </c>
      <c r="B69">
        <v>31</v>
      </c>
      <c r="C69">
        <v>30.630231857299801</v>
      </c>
      <c r="D69">
        <f t="shared" si="2"/>
        <v>0.36976814270019887</v>
      </c>
      <c r="E69" t="str">
        <f t="shared" si="3"/>
        <v/>
      </c>
      <c r="F69" s="2">
        <v>1</v>
      </c>
      <c r="G69" s="2">
        <v>3</v>
      </c>
      <c r="H69">
        <v>214</v>
      </c>
    </row>
    <row r="70" spans="1:8" x14ac:dyDescent="0.25">
      <c r="A70" t="s">
        <v>71</v>
      </c>
      <c r="B70">
        <v>31</v>
      </c>
      <c r="C70">
        <v>30.52532958984375</v>
      </c>
      <c r="D70">
        <f t="shared" si="2"/>
        <v>0.47467041015625</v>
      </c>
      <c r="E70">
        <f t="shared" si="3"/>
        <v>0.73853492736816051</v>
      </c>
      <c r="F70" s="2">
        <v>1</v>
      </c>
      <c r="G70" s="2">
        <v>3</v>
      </c>
      <c r="H70">
        <v>215</v>
      </c>
    </row>
    <row r="71" spans="1:8" x14ac:dyDescent="0.25">
      <c r="A71" t="s">
        <v>72</v>
      </c>
      <c r="B71">
        <v>31</v>
      </c>
      <c r="C71">
        <v>31.263864517211911</v>
      </c>
      <c r="D71">
        <f t="shared" si="2"/>
        <v>0.26386451721191051</v>
      </c>
      <c r="E71" t="str">
        <f t="shared" si="3"/>
        <v/>
      </c>
      <c r="F71" s="2">
        <v>1</v>
      </c>
      <c r="G71" s="2">
        <v>3</v>
      </c>
      <c r="H71">
        <v>215</v>
      </c>
    </row>
    <row r="72" spans="1:8" x14ac:dyDescent="0.25">
      <c r="A72" t="s">
        <v>73</v>
      </c>
      <c r="B72">
        <v>31</v>
      </c>
      <c r="C72">
        <v>30.826787948608398</v>
      </c>
      <c r="D72">
        <f t="shared" si="2"/>
        <v>0.17321205139160156</v>
      </c>
      <c r="E72">
        <f t="shared" si="3"/>
        <v>0.30486869812011719</v>
      </c>
      <c r="F72" s="2">
        <v>1</v>
      </c>
      <c r="G72" s="2">
        <v>3</v>
      </c>
      <c r="H72">
        <v>216</v>
      </c>
    </row>
    <row r="73" spans="1:8" x14ac:dyDescent="0.25">
      <c r="A73" t="s">
        <v>74</v>
      </c>
      <c r="B73">
        <v>31</v>
      </c>
      <c r="C73">
        <v>30.521919250488281</v>
      </c>
      <c r="D73">
        <f t="shared" si="2"/>
        <v>0.47808074951171875</v>
      </c>
      <c r="E73" t="str">
        <f t="shared" si="3"/>
        <v/>
      </c>
      <c r="F73" s="2">
        <v>1</v>
      </c>
      <c r="G73" s="2">
        <v>3</v>
      </c>
      <c r="H73">
        <v>216</v>
      </c>
    </row>
    <row r="74" spans="1:8" x14ac:dyDescent="0.25">
      <c r="A74" t="s">
        <v>75</v>
      </c>
      <c r="B74">
        <v>31</v>
      </c>
      <c r="C74">
        <v>30.289728164672852</v>
      </c>
      <c r="D74">
        <f t="shared" si="2"/>
        <v>0.71027183532714844</v>
      </c>
      <c r="E74">
        <f t="shared" si="3"/>
        <v>0.61830711364745738</v>
      </c>
      <c r="F74" s="2">
        <v>1</v>
      </c>
      <c r="G74" s="2">
        <v>3</v>
      </c>
      <c r="H74">
        <v>217</v>
      </c>
    </row>
    <row r="75" spans="1:8" x14ac:dyDescent="0.25">
      <c r="A75" t="s">
        <v>76</v>
      </c>
      <c r="B75">
        <v>31</v>
      </c>
      <c r="C75">
        <v>30.908035278320309</v>
      </c>
      <c r="D75">
        <f t="shared" si="2"/>
        <v>9.1964721679691053E-2</v>
      </c>
      <c r="E75" t="str">
        <f t="shared" si="3"/>
        <v/>
      </c>
      <c r="F75" s="2">
        <v>1</v>
      </c>
      <c r="G75" s="2">
        <v>3</v>
      </c>
      <c r="H75">
        <v>217</v>
      </c>
    </row>
    <row r="76" spans="1:8" x14ac:dyDescent="0.25">
      <c r="A76" t="s">
        <v>77</v>
      </c>
      <c r="B76">
        <v>31</v>
      </c>
      <c r="C76">
        <v>30.664266586303711</v>
      </c>
      <c r="D76">
        <f t="shared" si="2"/>
        <v>0.33573341369628906</v>
      </c>
      <c r="E76">
        <f t="shared" si="3"/>
        <v>0.45479774475098012</v>
      </c>
      <c r="F76" s="2">
        <v>1</v>
      </c>
      <c r="G76" s="2">
        <v>3</v>
      </c>
      <c r="H76">
        <v>218</v>
      </c>
    </row>
    <row r="77" spans="1:8" x14ac:dyDescent="0.25">
      <c r="A77" t="s">
        <v>78</v>
      </c>
      <c r="B77">
        <v>31</v>
      </c>
      <c r="C77">
        <v>31.119064331054691</v>
      </c>
      <c r="D77">
        <f t="shared" si="2"/>
        <v>0.11906433105469105</v>
      </c>
      <c r="E77" t="str">
        <f t="shared" si="3"/>
        <v/>
      </c>
      <c r="F77" s="2">
        <v>1</v>
      </c>
      <c r="G77" s="2">
        <v>3</v>
      </c>
      <c r="H77">
        <v>218</v>
      </c>
    </row>
    <row r="78" spans="1:8" x14ac:dyDescent="0.25">
      <c r="A78" t="s">
        <v>79</v>
      </c>
      <c r="B78">
        <v>31</v>
      </c>
      <c r="C78">
        <v>29.50015830993652</v>
      </c>
      <c r="D78">
        <f t="shared" si="2"/>
        <v>1.4998416900634801</v>
      </c>
      <c r="E78">
        <f t="shared" si="3"/>
        <v>1.2252521514892614</v>
      </c>
      <c r="F78" s="2">
        <v>1</v>
      </c>
      <c r="G78" s="2">
        <v>3</v>
      </c>
      <c r="H78">
        <v>219</v>
      </c>
    </row>
    <row r="79" spans="1:8" x14ac:dyDescent="0.25">
      <c r="A79" t="s">
        <v>80</v>
      </c>
      <c r="B79">
        <v>31</v>
      </c>
      <c r="C79">
        <v>30.725410461425781</v>
      </c>
      <c r="D79">
        <f t="shared" si="2"/>
        <v>0.27458953857421875</v>
      </c>
      <c r="E79" t="str">
        <f t="shared" si="3"/>
        <v/>
      </c>
      <c r="F79" s="2">
        <v>1</v>
      </c>
      <c r="G79" s="2">
        <v>3</v>
      </c>
      <c r="H79">
        <v>219</v>
      </c>
    </row>
    <row r="80" spans="1:8" x14ac:dyDescent="0.25">
      <c r="A80" t="s">
        <v>81</v>
      </c>
      <c r="B80">
        <v>31</v>
      </c>
      <c r="C80">
        <v>32.032527923583977</v>
      </c>
      <c r="D80">
        <f t="shared" si="2"/>
        <v>1.0325279235839773</v>
      </c>
      <c r="E80">
        <f t="shared" si="3"/>
        <v>8.9103698730475855E-2</v>
      </c>
      <c r="F80" s="2">
        <v>1</v>
      </c>
      <c r="G80" s="2">
        <v>3</v>
      </c>
      <c r="H80">
        <v>220</v>
      </c>
    </row>
    <row r="81" spans="1:8" x14ac:dyDescent="0.25">
      <c r="A81" t="s">
        <v>82</v>
      </c>
      <c r="B81">
        <v>31</v>
      </c>
      <c r="C81">
        <v>32.121631622314453</v>
      </c>
      <c r="D81">
        <f t="shared" si="2"/>
        <v>1.1216316223144531</v>
      </c>
      <c r="E81" t="str">
        <f t="shared" si="3"/>
        <v/>
      </c>
      <c r="F81" s="2">
        <v>1</v>
      </c>
      <c r="G81" s="2">
        <v>3</v>
      </c>
      <c r="H81">
        <v>220</v>
      </c>
    </row>
    <row r="82" spans="1:8" x14ac:dyDescent="0.25">
      <c r="A82" t="s">
        <v>83</v>
      </c>
      <c r="B82">
        <v>30</v>
      </c>
      <c r="C82">
        <v>31.258981704711911</v>
      </c>
      <c r="D82">
        <f t="shared" si="2"/>
        <v>1.2589817047119105</v>
      </c>
      <c r="E82">
        <f t="shared" si="3"/>
        <v>1.1952457427978622</v>
      </c>
      <c r="F82" s="2">
        <v>2</v>
      </c>
      <c r="G82" s="2">
        <v>3</v>
      </c>
      <c r="H82">
        <v>301</v>
      </c>
    </row>
    <row r="83" spans="1:8" x14ac:dyDescent="0.25">
      <c r="A83" t="s">
        <v>84</v>
      </c>
      <c r="B83">
        <v>30</v>
      </c>
      <c r="C83">
        <v>32.454227447509773</v>
      </c>
      <c r="D83">
        <f t="shared" si="2"/>
        <v>2.4542274475097727</v>
      </c>
      <c r="E83" t="str">
        <f t="shared" si="3"/>
        <v/>
      </c>
      <c r="F83" s="2">
        <v>2</v>
      </c>
      <c r="G83" s="2">
        <v>3</v>
      </c>
      <c r="H83">
        <v>301</v>
      </c>
    </row>
    <row r="84" spans="1:8" x14ac:dyDescent="0.25">
      <c r="A84" t="s">
        <v>85</v>
      </c>
      <c r="B84">
        <v>30</v>
      </c>
      <c r="C84">
        <v>31.523349761962891</v>
      </c>
      <c r="D84">
        <f t="shared" si="2"/>
        <v>1.5233497619628906</v>
      </c>
      <c r="E84">
        <f t="shared" si="3"/>
        <v>1.0244941711425781</v>
      </c>
      <c r="F84" s="2">
        <v>2</v>
      </c>
      <c r="G84" s="2">
        <v>3</v>
      </c>
      <c r="H84">
        <v>302</v>
      </c>
    </row>
    <row r="85" spans="1:8" x14ac:dyDescent="0.25">
      <c r="A85" t="s">
        <v>86</v>
      </c>
      <c r="B85">
        <v>30</v>
      </c>
      <c r="C85">
        <v>32.547843933105469</v>
      </c>
      <c r="D85">
        <f t="shared" si="2"/>
        <v>2.5478439331054688</v>
      </c>
      <c r="E85" t="str">
        <f t="shared" si="3"/>
        <v/>
      </c>
      <c r="F85" s="2">
        <v>2</v>
      </c>
      <c r="G85" s="2">
        <v>3</v>
      </c>
      <c r="H85">
        <v>302</v>
      </c>
    </row>
    <row r="86" spans="1:8" x14ac:dyDescent="0.25">
      <c r="A86" t="s">
        <v>87</v>
      </c>
      <c r="B86">
        <v>30</v>
      </c>
      <c r="C86">
        <v>32.060749053955078</v>
      </c>
      <c r="D86">
        <f t="shared" si="2"/>
        <v>2.0607490539550781</v>
      </c>
      <c r="E86">
        <f t="shared" si="3"/>
        <v>7.060432434081676E-2</v>
      </c>
      <c r="F86" s="2">
        <v>2</v>
      </c>
      <c r="G86" s="2">
        <v>3</v>
      </c>
      <c r="H86">
        <v>303</v>
      </c>
    </row>
    <row r="87" spans="1:8" x14ac:dyDescent="0.25">
      <c r="A87" t="s">
        <v>88</v>
      </c>
      <c r="B87">
        <v>30</v>
      </c>
      <c r="C87">
        <v>31.990144729614261</v>
      </c>
      <c r="D87">
        <f t="shared" si="2"/>
        <v>1.9901447296142614</v>
      </c>
      <c r="E87" t="str">
        <f t="shared" si="3"/>
        <v/>
      </c>
      <c r="F87" s="2">
        <v>2</v>
      </c>
      <c r="G87" s="2">
        <v>3</v>
      </c>
      <c r="H87">
        <v>303</v>
      </c>
    </row>
    <row r="88" spans="1:8" x14ac:dyDescent="0.25">
      <c r="A88" t="s">
        <v>89</v>
      </c>
      <c r="B88">
        <v>30</v>
      </c>
      <c r="C88">
        <v>32.371070861816413</v>
      </c>
      <c r="D88">
        <f t="shared" si="2"/>
        <v>2.3710708618164134</v>
      </c>
      <c r="E88">
        <f t="shared" si="3"/>
        <v>0.80269241333006391</v>
      </c>
      <c r="F88" s="2">
        <v>2</v>
      </c>
      <c r="G88" s="2">
        <v>3</v>
      </c>
      <c r="H88">
        <v>304</v>
      </c>
    </row>
    <row r="89" spans="1:8" x14ac:dyDescent="0.25">
      <c r="A89" t="s">
        <v>90</v>
      </c>
      <c r="B89">
        <v>30</v>
      </c>
      <c r="C89">
        <v>33.173763275146477</v>
      </c>
      <c r="D89">
        <f t="shared" si="2"/>
        <v>3.1737632751464773</v>
      </c>
      <c r="E89" t="str">
        <f t="shared" si="3"/>
        <v/>
      </c>
      <c r="F89" s="2">
        <v>2</v>
      </c>
      <c r="G89" s="2">
        <v>3</v>
      </c>
      <c r="H89">
        <v>304</v>
      </c>
    </row>
    <row r="90" spans="1:8" x14ac:dyDescent="0.25">
      <c r="A90" t="s">
        <v>91</v>
      </c>
      <c r="B90">
        <v>30</v>
      </c>
      <c r="C90">
        <v>33.137523651123047</v>
      </c>
      <c r="D90">
        <f t="shared" si="2"/>
        <v>3.1375236511230469</v>
      </c>
      <c r="E90">
        <f t="shared" si="3"/>
        <v>0.6053314208984375</v>
      </c>
      <c r="F90" s="2">
        <v>2</v>
      </c>
      <c r="G90" s="2">
        <v>3</v>
      </c>
      <c r="H90">
        <v>305</v>
      </c>
    </row>
    <row r="91" spans="1:8" x14ac:dyDescent="0.25">
      <c r="A91" t="s">
        <v>92</v>
      </c>
      <c r="B91">
        <v>30</v>
      </c>
      <c r="C91">
        <v>32.532192230224609</v>
      </c>
      <c r="D91">
        <f t="shared" si="2"/>
        <v>2.5321922302246094</v>
      </c>
      <c r="E91" t="str">
        <f t="shared" si="3"/>
        <v/>
      </c>
      <c r="F91" s="2">
        <v>2</v>
      </c>
      <c r="G91" s="2">
        <v>3</v>
      </c>
      <c r="H91">
        <v>305</v>
      </c>
    </row>
    <row r="92" spans="1:8" x14ac:dyDescent="0.25">
      <c r="A92" t="s">
        <v>93</v>
      </c>
      <c r="B92">
        <v>30</v>
      </c>
      <c r="C92">
        <v>34.090072631835938</v>
      </c>
      <c r="D92">
        <f t="shared" si="2"/>
        <v>4.0900726318359375</v>
      </c>
      <c r="E92">
        <f t="shared" si="3"/>
        <v>1.4013290405273509</v>
      </c>
      <c r="F92" s="2">
        <v>2</v>
      </c>
      <c r="G92" s="2">
        <v>3</v>
      </c>
      <c r="H92">
        <v>306</v>
      </c>
    </row>
    <row r="93" spans="1:8" x14ac:dyDescent="0.25">
      <c r="A93" t="s">
        <v>94</v>
      </c>
      <c r="B93">
        <v>30</v>
      </c>
      <c r="C93">
        <v>32.688743591308587</v>
      </c>
      <c r="D93">
        <f t="shared" si="2"/>
        <v>2.6887435913085866</v>
      </c>
      <c r="E93" t="str">
        <f t="shared" si="3"/>
        <v/>
      </c>
      <c r="F93" s="2">
        <v>2</v>
      </c>
      <c r="G93" s="2">
        <v>3</v>
      </c>
      <c r="H93">
        <v>306</v>
      </c>
    </row>
    <row r="94" spans="1:8" x14ac:dyDescent="0.25">
      <c r="A94" t="s">
        <v>95</v>
      </c>
      <c r="B94">
        <v>30</v>
      </c>
      <c r="C94">
        <v>33.411754608154297</v>
      </c>
      <c r="D94">
        <f t="shared" si="2"/>
        <v>3.4117546081542969</v>
      </c>
      <c r="E94">
        <f t="shared" si="3"/>
        <v>1.0137939453125</v>
      </c>
      <c r="F94" s="2">
        <v>2</v>
      </c>
      <c r="G94" s="2">
        <v>3</v>
      </c>
      <c r="H94">
        <v>307</v>
      </c>
    </row>
    <row r="95" spans="1:8" x14ac:dyDescent="0.25">
      <c r="A95" t="s">
        <v>96</v>
      </c>
      <c r="B95">
        <v>30</v>
      </c>
      <c r="C95">
        <v>34.425548553466797</v>
      </c>
      <c r="D95">
        <f t="shared" si="2"/>
        <v>4.4255485534667969</v>
      </c>
      <c r="E95" t="str">
        <f t="shared" si="3"/>
        <v/>
      </c>
      <c r="F95" s="2">
        <v>2</v>
      </c>
      <c r="G95" s="2">
        <v>3</v>
      </c>
      <c r="H95">
        <v>307</v>
      </c>
    </row>
    <row r="96" spans="1:8" x14ac:dyDescent="0.25">
      <c r="A96" t="s">
        <v>97</v>
      </c>
      <c r="B96">
        <v>30</v>
      </c>
      <c r="C96">
        <v>34.634498596191413</v>
      </c>
      <c r="D96">
        <f t="shared" si="2"/>
        <v>4.6344985961914134</v>
      </c>
      <c r="E96">
        <f t="shared" si="3"/>
        <v>2.7737731933593821</v>
      </c>
      <c r="F96" s="2">
        <v>2</v>
      </c>
      <c r="G96" s="2">
        <v>3</v>
      </c>
      <c r="H96">
        <v>308</v>
      </c>
    </row>
    <row r="97" spans="1:8" x14ac:dyDescent="0.25">
      <c r="A97" t="s">
        <v>98</v>
      </c>
      <c r="B97">
        <v>30</v>
      </c>
      <c r="C97">
        <v>31.860725402832031</v>
      </c>
      <c r="D97">
        <f t="shared" si="2"/>
        <v>1.8607254028320313</v>
      </c>
      <c r="E97" t="str">
        <f t="shared" si="3"/>
        <v/>
      </c>
      <c r="F97" s="2">
        <v>2</v>
      </c>
      <c r="G97" s="2">
        <v>3</v>
      </c>
      <c r="H97">
        <v>308</v>
      </c>
    </row>
    <row r="98" spans="1:8" x14ac:dyDescent="0.25">
      <c r="A98" t="s">
        <v>99</v>
      </c>
      <c r="B98">
        <v>30</v>
      </c>
      <c r="C98">
        <v>33.509037017822273</v>
      </c>
      <c r="D98">
        <f t="shared" si="2"/>
        <v>3.5090370178222727</v>
      </c>
      <c r="E98">
        <f t="shared" si="3"/>
        <v>1.3337135314941548</v>
      </c>
      <c r="F98" s="2">
        <v>2</v>
      </c>
      <c r="G98" s="2">
        <v>3</v>
      </c>
      <c r="H98">
        <v>309</v>
      </c>
    </row>
    <row r="99" spans="1:8" x14ac:dyDescent="0.25">
      <c r="A99" t="s">
        <v>100</v>
      </c>
      <c r="B99">
        <v>30</v>
      </c>
      <c r="C99">
        <v>32.175323486328118</v>
      </c>
      <c r="D99">
        <f t="shared" si="2"/>
        <v>2.1753234863281179</v>
      </c>
      <c r="E99" t="str">
        <f t="shared" si="3"/>
        <v/>
      </c>
      <c r="F99" s="2">
        <v>2</v>
      </c>
      <c r="G99" s="2">
        <v>3</v>
      </c>
      <c r="H99">
        <v>309</v>
      </c>
    </row>
    <row r="100" spans="1:8" x14ac:dyDescent="0.25">
      <c r="A100" t="s">
        <v>101</v>
      </c>
      <c r="B100">
        <v>30</v>
      </c>
      <c r="C100">
        <v>31.18282508850098</v>
      </c>
      <c r="D100">
        <f t="shared" si="2"/>
        <v>1.1828250885009801</v>
      </c>
      <c r="E100">
        <f t="shared" si="3"/>
        <v>0.30679702758789063</v>
      </c>
      <c r="F100" s="2">
        <v>2</v>
      </c>
      <c r="G100" s="2">
        <v>3</v>
      </c>
      <c r="H100">
        <v>310</v>
      </c>
    </row>
    <row r="101" spans="1:8" x14ac:dyDescent="0.25">
      <c r="A101" t="s">
        <v>102</v>
      </c>
      <c r="B101">
        <v>30</v>
      </c>
      <c r="C101">
        <v>31.489622116088871</v>
      </c>
      <c r="D101">
        <f t="shared" si="2"/>
        <v>1.4896221160888707</v>
      </c>
      <c r="E101" t="str">
        <f t="shared" si="3"/>
        <v/>
      </c>
      <c r="F101" s="2">
        <v>2</v>
      </c>
      <c r="G101" s="2">
        <v>3</v>
      </c>
      <c r="H101">
        <v>310</v>
      </c>
    </row>
    <row r="102" spans="1:8" x14ac:dyDescent="0.25">
      <c r="A102" t="s">
        <v>103</v>
      </c>
      <c r="B102">
        <v>30</v>
      </c>
      <c r="C102">
        <v>33.549571990966797</v>
      </c>
      <c r="D102">
        <f t="shared" si="2"/>
        <v>3.5495719909667969</v>
      </c>
      <c r="E102">
        <f t="shared" si="3"/>
        <v>2.0124759674072266</v>
      </c>
      <c r="F102" s="2">
        <v>2</v>
      </c>
      <c r="G102" s="2">
        <v>3</v>
      </c>
      <c r="H102">
        <v>311</v>
      </c>
    </row>
    <row r="103" spans="1:8" x14ac:dyDescent="0.25">
      <c r="A103" t="s">
        <v>104</v>
      </c>
      <c r="B103">
        <v>30</v>
      </c>
      <c r="C103">
        <v>31.53709602355957</v>
      </c>
      <c r="D103">
        <f t="shared" si="2"/>
        <v>1.5370960235595703</v>
      </c>
      <c r="E103" t="str">
        <f t="shared" si="3"/>
        <v/>
      </c>
      <c r="F103" s="2">
        <v>2</v>
      </c>
      <c r="G103" s="2">
        <v>3</v>
      </c>
      <c r="H103">
        <v>311</v>
      </c>
    </row>
    <row r="104" spans="1:8" x14ac:dyDescent="0.25">
      <c r="A104" t="s">
        <v>105</v>
      </c>
      <c r="B104">
        <v>30</v>
      </c>
      <c r="C104">
        <v>34.394424438476563</v>
      </c>
      <c r="D104">
        <f t="shared" si="2"/>
        <v>4.3944244384765625</v>
      </c>
      <c r="E104">
        <f t="shared" si="3"/>
        <v>2.2780075073242259</v>
      </c>
      <c r="F104" s="2">
        <v>2</v>
      </c>
      <c r="G104" s="2">
        <v>3</v>
      </c>
      <c r="H104">
        <v>312</v>
      </c>
    </row>
    <row r="105" spans="1:8" x14ac:dyDescent="0.25">
      <c r="A105" t="s">
        <v>106</v>
      </c>
      <c r="B105">
        <v>30</v>
      </c>
      <c r="C105">
        <v>32.116416931152337</v>
      </c>
      <c r="D105">
        <f t="shared" si="2"/>
        <v>2.1164169311523366</v>
      </c>
      <c r="E105" t="str">
        <f t="shared" si="3"/>
        <v/>
      </c>
      <c r="F105" s="2">
        <v>2</v>
      </c>
      <c r="G105" s="2">
        <v>3</v>
      </c>
      <c r="H105">
        <v>312</v>
      </c>
    </row>
    <row r="106" spans="1:8" x14ac:dyDescent="0.25">
      <c r="A106" t="s">
        <v>107</v>
      </c>
      <c r="B106">
        <v>30</v>
      </c>
      <c r="C106">
        <v>33.228336334228523</v>
      </c>
      <c r="D106">
        <f t="shared" si="2"/>
        <v>3.2283363342285227</v>
      </c>
      <c r="E106">
        <f t="shared" si="3"/>
        <v>1.0458793640136861</v>
      </c>
      <c r="F106" s="2">
        <v>2</v>
      </c>
      <c r="G106" s="2">
        <v>3</v>
      </c>
      <c r="H106">
        <v>313</v>
      </c>
    </row>
    <row r="107" spans="1:8" x14ac:dyDescent="0.25">
      <c r="A107" t="s">
        <v>108</v>
      </c>
      <c r="B107">
        <v>30</v>
      </c>
      <c r="C107">
        <v>32.182456970214837</v>
      </c>
      <c r="D107">
        <f t="shared" si="2"/>
        <v>2.1824569702148366</v>
      </c>
      <c r="E107" t="str">
        <f t="shared" si="3"/>
        <v/>
      </c>
      <c r="F107" s="2">
        <v>2</v>
      </c>
      <c r="G107" s="2">
        <v>3</v>
      </c>
      <c r="H107">
        <v>313</v>
      </c>
    </row>
    <row r="108" spans="1:8" x14ac:dyDescent="0.25">
      <c r="A108" t="s">
        <v>109</v>
      </c>
      <c r="B108">
        <v>30</v>
      </c>
      <c r="C108">
        <v>33.19134521484375</v>
      </c>
      <c r="D108">
        <f t="shared" si="2"/>
        <v>3.19134521484375</v>
      </c>
      <c r="E108">
        <f t="shared" si="3"/>
        <v>1.4404830932617188</v>
      </c>
      <c r="F108" s="2">
        <v>2</v>
      </c>
      <c r="G108" s="2">
        <v>3</v>
      </c>
      <c r="H108">
        <v>314</v>
      </c>
    </row>
    <row r="109" spans="1:8" x14ac:dyDescent="0.25">
      <c r="A109" t="s">
        <v>110</v>
      </c>
      <c r="B109">
        <v>30</v>
      </c>
      <c r="C109">
        <v>31.750862121582031</v>
      </c>
      <c r="D109">
        <f t="shared" si="2"/>
        <v>1.7508621215820313</v>
      </c>
      <c r="E109" t="str">
        <f t="shared" si="3"/>
        <v/>
      </c>
      <c r="F109" s="2">
        <v>2</v>
      </c>
      <c r="G109" s="2">
        <v>3</v>
      </c>
      <c r="H109">
        <v>314</v>
      </c>
    </row>
    <row r="110" spans="1:8" x14ac:dyDescent="0.25">
      <c r="A110" t="s">
        <v>111</v>
      </c>
      <c r="B110">
        <v>30</v>
      </c>
      <c r="C110">
        <v>33.041114807128913</v>
      </c>
      <c r="D110">
        <f t="shared" si="2"/>
        <v>3.0411148071289134</v>
      </c>
      <c r="E110">
        <f t="shared" si="3"/>
        <v>3.16619873046875E-3</v>
      </c>
      <c r="F110" s="2">
        <v>2</v>
      </c>
      <c r="G110" s="2">
        <v>3</v>
      </c>
      <c r="H110">
        <v>315</v>
      </c>
    </row>
    <row r="111" spans="1:8" x14ac:dyDescent="0.25">
      <c r="A111" t="s">
        <v>112</v>
      </c>
      <c r="B111">
        <v>30</v>
      </c>
      <c r="C111">
        <v>33.044281005859382</v>
      </c>
      <c r="D111">
        <f t="shared" si="2"/>
        <v>3.0442810058593821</v>
      </c>
      <c r="E111" t="str">
        <f t="shared" si="3"/>
        <v/>
      </c>
      <c r="F111" s="2">
        <v>2</v>
      </c>
      <c r="G111" s="2">
        <v>3</v>
      </c>
      <c r="H111">
        <v>315</v>
      </c>
    </row>
    <row r="112" spans="1:8" x14ac:dyDescent="0.25">
      <c r="A112" t="s">
        <v>113</v>
      </c>
      <c r="B112">
        <v>30</v>
      </c>
      <c r="C112">
        <v>32.923431396484382</v>
      </c>
      <c r="D112">
        <f t="shared" si="2"/>
        <v>2.9234313964843821</v>
      </c>
      <c r="E112">
        <f t="shared" si="3"/>
        <v>1.4296798706054723</v>
      </c>
      <c r="F112" s="2">
        <v>2</v>
      </c>
      <c r="G112" s="2">
        <v>3</v>
      </c>
      <c r="H112">
        <v>316</v>
      </c>
    </row>
    <row r="113" spans="1:8" x14ac:dyDescent="0.25">
      <c r="A113" t="s">
        <v>114</v>
      </c>
      <c r="B113">
        <v>30</v>
      </c>
      <c r="C113">
        <v>31.49375152587891</v>
      </c>
      <c r="D113">
        <f t="shared" si="2"/>
        <v>1.4937515258789098</v>
      </c>
      <c r="E113" t="str">
        <f t="shared" si="3"/>
        <v/>
      </c>
      <c r="F113" s="2">
        <v>2</v>
      </c>
      <c r="G113" s="2">
        <v>3</v>
      </c>
      <c r="H113">
        <v>316</v>
      </c>
    </row>
    <row r="114" spans="1:8" x14ac:dyDescent="0.25">
      <c r="A114" t="s">
        <v>115</v>
      </c>
      <c r="B114">
        <v>30</v>
      </c>
      <c r="C114">
        <v>32.801502227783203</v>
      </c>
      <c r="D114">
        <f t="shared" si="2"/>
        <v>2.8015022277832031</v>
      </c>
      <c r="E114">
        <f t="shared" si="3"/>
        <v>0.85348892211913352</v>
      </c>
      <c r="F114" s="2">
        <v>2</v>
      </c>
      <c r="G114" s="2">
        <v>3</v>
      </c>
      <c r="H114">
        <v>317</v>
      </c>
    </row>
    <row r="115" spans="1:8" x14ac:dyDescent="0.25">
      <c r="A115" t="s">
        <v>116</v>
      </c>
      <c r="B115">
        <v>30</v>
      </c>
      <c r="C115">
        <v>33.654991149902337</v>
      </c>
      <c r="D115">
        <f t="shared" si="2"/>
        <v>3.6549911499023366</v>
      </c>
      <c r="E115" t="str">
        <f t="shared" si="3"/>
        <v/>
      </c>
      <c r="F115" s="2">
        <v>2</v>
      </c>
      <c r="G115" s="2">
        <v>3</v>
      </c>
      <c r="H115">
        <v>317</v>
      </c>
    </row>
    <row r="116" spans="1:8" x14ac:dyDescent="0.25">
      <c r="A116" t="s">
        <v>117</v>
      </c>
      <c r="B116">
        <v>30</v>
      </c>
      <c r="C116">
        <v>34.262863159179688</v>
      </c>
      <c r="D116">
        <f t="shared" si="2"/>
        <v>4.2628631591796875</v>
      </c>
      <c r="E116">
        <f t="shared" si="3"/>
        <v>1.166351318359375</v>
      </c>
      <c r="F116" s="2">
        <v>2</v>
      </c>
      <c r="G116" s="2">
        <v>3</v>
      </c>
      <c r="H116">
        <v>318</v>
      </c>
    </row>
    <row r="117" spans="1:8" x14ac:dyDescent="0.25">
      <c r="A117" t="s">
        <v>118</v>
      </c>
      <c r="B117">
        <v>30</v>
      </c>
      <c r="C117">
        <v>33.096511840820313</v>
      </c>
      <c r="D117">
        <f t="shared" si="2"/>
        <v>3.0965118408203125</v>
      </c>
      <c r="E117" t="str">
        <f t="shared" si="3"/>
        <v/>
      </c>
      <c r="F117" s="2">
        <v>2</v>
      </c>
      <c r="G117" s="2">
        <v>3</v>
      </c>
      <c r="H117">
        <v>318</v>
      </c>
    </row>
    <row r="118" spans="1:8" x14ac:dyDescent="0.25">
      <c r="A118" t="s">
        <v>119</v>
      </c>
      <c r="B118">
        <v>30</v>
      </c>
      <c r="C118">
        <v>33.979770660400391</v>
      </c>
      <c r="D118">
        <f t="shared" si="2"/>
        <v>3.9797706604003906</v>
      </c>
      <c r="E118">
        <f t="shared" si="3"/>
        <v>0.43878173828125</v>
      </c>
      <c r="F118" s="2">
        <v>2</v>
      </c>
      <c r="G118" s="2">
        <v>3</v>
      </c>
      <c r="H118">
        <v>319</v>
      </c>
    </row>
    <row r="119" spans="1:8" x14ac:dyDescent="0.25">
      <c r="A119" t="s">
        <v>120</v>
      </c>
      <c r="B119">
        <v>30</v>
      </c>
      <c r="C119">
        <v>34.418552398681641</v>
      </c>
      <c r="D119">
        <f t="shared" si="2"/>
        <v>4.4185523986816406</v>
      </c>
      <c r="E119" t="str">
        <f t="shared" si="3"/>
        <v/>
      </c>
      <c r="F119" s="2">
        <v>2</v>
      </c>
      <c r="G119" s="2">
        <v>3</v>
      </c>
      <c r="H119">
        <v>319</v>
      </c>
    </row>
    <row r="120" spans="1:8" x14ac:dyDescent="0.25">
      <c r="A120" t="s">
        <v>121</v>
      </c>
      <c r="B120">
        <v>30</v>
      </c>
      <c r="C120">
        <v>34.680789947509773</v>
      </c>
      <c r="D120">
        <f t="shared" si="2"/>
        <v>4.6807899475097727</v>
      </c>
      <c r="E120">
        <f t="shared" si="3"/>
        <v>0.97966003417969461</v>
      </c>
      <c r="F120" s="2">
        <v>2</v>
      </c>
      <c r="G120" s="2">
        <v>3</v>
      </c>
      <c r="H120">
        <v>320</v>
      </c>
    </row>
    <row r="121" spans="1:8" x14ac:dyDescent="0.25">
      <c r="A121" t="s">
        <v>122</v>
      </c>
      <c r="B121">
        <v>30</v>
      </c>
      <c r="C121">
        <v>33.701129913330078</v>
      </c>
      <c r="D121">
        <f t="shared" si="2"/>
        <v>3.7011299133300781</v>
      </c>
      <c r="E121" t="str">
        <f t="shared" si="3"/>
        <v/>
      </c>
      <c r="F121" s="2">
        <v>2</v>
      </c>
      <c r="G121" s="2">
        <v>3</v>
      </c>
      <c r="H121">
        <v>320</v>
      </c>
    </row>
  </sheetData>
  <phoneticPr fontId="2" type="noConversion"/>
  <conditionalFormatting sqref="E2:E121">
    <cfRule type="cellIs" dxfId="8" priority="1" operator="between">
      <formula>1000</formula>
      <formula>6</formula>
    </cfRule>
  </conditionalFormatting>
  <pageMargins left="0.75" right="0.75" top="1" bottom="1" header="0.5" footer="0.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3"/>
  <sheetViews>
    <sheetView topLeftCell="A16" workbookViewId="0">
      <selection activeCell="D44" sqref="D44"/>
    </sheetView>
  </sheetViews>
  <sheetFormatPr defaultRowHeight="15.75" x14ac:dyDescent="0.25"/>
  <cols>
    <col min="1" max="1" width="12" bestFit="1" customWidth="1"/>
    <col min="2" max="2" width="10.5703125" bestFit="1" customWidth="1"/>
    <col min="3" max="3" width="15.5703125" bestFit="1" customWidth="1"/>
    <col min="4" max="5" width="13" bestFit="1" customWidth="1"/>
    <col min="6" max="6" width="27.140625" bestFit="1" customWidth="1"/>
    <col min="8" max="8" width="5.42578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205</v>
      </c>
      <c r="E1" s="1" t="s">
        <v>206</v>
      </c>
      <c r="F1" s="1" t="s">
        <v>230</v>
      </c>
      <c r="G1" s="1" t="s">
        <v>231</v>
      </c>
      <c r="H1" s="1" t="s">
        <v>209</v>
      </c>
    </row>
    <row r="2" spans="1:8" x14ac:dyDescent="0.25">
      <c r="A2" t="s">
        <v>123</v>
      </c>
      <c r="B2">
        <v>28</v>
      </c>
      <c r="C2">
        <v>39.149967193603523</v>
      </c>
      <c r="D2">
        <f>ABS(C2-B2)</f>
        <v>11.149967193603523</v>
      </c>
      <c r="E2">
        <f>IF(COUNTIF($H:$H,H2)=2,ABS(C2-_xlfn.XLOOKUP(H2,$H:$H,$C:$C,"",0,-1)),"")</f>
        <v>3.9467849731445455</v>
      </c>
      <c r="F2">
        <v>2</v>
      </c>
      <c r="G2">
        <v>3</v>
      </c>
      <c r="H2">
        <v>113</v>
      </c>
    </row>
    <row r="3" spans="1:8" x14ac:dyDescent="0.25">
      <c r="A3" t="s">
        <v>124</v>
      </c>
      <c r="B3">
        <v>28</v>
      </c>
      <c r="C3">
        <v>35.203182220458977</v>
      </c>
      <c r="D3">
        <f t="shared" ref="D3:D43" si="0">ABS(C3-B3)</f>
        <v>7.2031822204589773</v>
      </c>
      <c r="E3">
        <f t="shared" ref="E3:E43" si="1">IF(COUNTIF($H:$H,H3)=2,ABS(C3-_xlfn.XLOOKUP(H3,$H:$H,$C:$C,"",0,-1)),"")</f>
        <v>0</v>
      </c>
      <c r="F3">
        <v>2</v>
      </c>
      <c r="G3">
        <v>3</v>
      </c>
      <c r="H3">
        <v>113</v>
      </c>
    </row>
    <row r="4" spans="1:8" x14ac:dyDescent="0.25">
      <c r="A4" t="s">
        <v>125</v>
      </c>
      <c r="B4">
        <v>30</v>
      </c>
      <c r="C4">
        <v>30.703060150146481</v>
      </c>
      <c r="D4">
        <f t="shared" si="0"/>
        <v>0.70306015014648082</v>
      </c>
      <c r="E4">
        <f t="shared" si="1"/>
        <v>4.1010742187499964</v>
      </c>
      <c r="F4">
        <v>1</v>
      </c>
      <c r="G4">
        <v>3</v>
      </c>
      <c r="H4">
        <v>127</v>
      </c>
    </row>
    <row r="5" spans="1:8" x14ac:dyDescent="0.25">
      <c r="A5" t="s">
        <v>126</v>
      </c>
      <c r="B5">
        <v>30</v>
      </c>
      <c r="C5">
        <v>34.804134368896477</v>
      </c>
      <c r="D5">
        <f t="shared" si="0"/>
        <v>4.8041343688964773</v>
      </c>
      <c r="E5">
        <f t="shared" si="1"/>
        <v>0</v>
      </c>
      <c r="F5">
        <v>1</v>
      </c>
      <c r="G5">
        <v>3</v>
      </c>
      <c r="H5">
        <v>127</v>
      </c>
    </row>
    <row r="6" spans="1:8" x14ac:dyDescent="0.25">
      <c r="A6" t="s">
        <v>127</v>
      </c>
      <c r="B6">
        <v>28</v>
      </c>
      <c r="C6">
        <v>33.491226196289063</v>
      </c>
      <c r="D6">
        <f t="shared" si="0"/>
        <v>5.4912261962890625</v>
      </c>
      <c r="E6">
        <f t="shared" si="1"/>
        <v>0.81195068359375</v>
      </c>
      <c r="F6">
        <v>1</v>
      </c>
      <c r="G6">
        <v>3</v>
      </c>
      <c r="H6">
        <v>142</v>
      </c>
    </row>
    <row r="7" spans="1:8" x14ac:dyDescent="0.25">
      <c r="A7" t="s">
        <v>128</v>
      </c>
      <c r="B7">
        <v>28</v>
      </c>
      <c r="C7">
        <v>34.303176879882813</v>
      </c>
      <c r="D7">
        <f t="shared" si="0"/>
        <v>6.3031768798828125</v>
      </c>
      <c r="E7">
        <f t="shared" si="1"/>
        <v>0</v>
      </c>
      <c r="F7">
        <v>1</v>
      </c>
      <c r="G7">
        <v>3</v>
      </c>
      <c r="H7">
        <v>142</v>
      </c>
    </row>
    <row r="8" spans="1:8" x14ac:dyDescent="0.25">
      <c r="A8" t="s">
        <v>129</v>
      </c>
      <c r="B8">
        <v>26</v>
      </c>
      <c r="C8">
        <v>28.858901977539059</v>
      </c>
      <c r="D8">
        <f t="shared" si="0"/>
        <v>2.8589019775390589</v>
      </c>
      <c r="E8">
        <f t="shared" si="1"/>
        <v>0.44284248352050781</v>
      </c>
      <c r="F8">
        <v>2</v>
      </c>
      <c r="G8">
        <v>3</v>
      </c>
      <c r="H8">
        <v>239</v>
      </c>
    </row>
    <row r="9" spans="1:8" x14ac:dyDescent="0.25">
      <c r="A9" t="s">
        <v>130</v>
      </c>
      <c r="B9">
        <v>26</v>
      </c>
      <c r="C9">
        <v>28.416059494018551</v>
      </c>
      <c r="D9">
        <f t="shared" si="0"/>
        <v>2.4160594940185511</v>
      </c>
      <c r="E9">
        <f t="shared" si="1"/>
        <v>0</v>
      </c>
      <c r="F9">
        <v>2</v>
      </c>
      <c r="G9">
        <v>3</v>
      </c>
      <c r="H9">
        <v>239</v>
      </c>
    </row>
    <row r="10" spans="1:8" x14ac:dyDescent="0.25">
      <c r="A10" t="s">
        <v>131</v>
      </c>
      <c r="B10">
        <v>22</v>
      </c>
      <c r="C10">
        <v>29.122783660888668</v>
      </c>
      <c r="D10">
        <f t="shared" si="0"/>
        <v>7.1227836608886683</v>
      </c>
      <c r="E10">
        <f t="shared" si="1"/>
        <v>6.4624786376953125E-2</v>
      </c>
      <c r="F10">
        <v>2</v>
      </c>
      <c r="G10">
        <v>3</v>
      </c>
      <c r="H10">
        <v>346</v>
      </c>
    </row>
    <row r="11" spans="1:8" x14ac:dyDescent="0.25">
      <c r="A11" t="s">
        <v>132</v>
      </c>
      <c r="B11">
        <v>22</v>
      </c>
      <c r="C11">
        <v>29.187408447265621</v>
      </c>
      <c r="D11">
        <f t="shared" si="0"/>
        <v>7.1874084472656214</v>
      </c>
      <c r="E11">
        <f t="shared" si="1"/>
        <v>0</v>
      </c>
      <c r="F11">
        <v>2</v>
      </c>
      <c r="G11">
        <v>3</v>
      </c>
      <c r="H11">
        <v>346</v>
      </c>
    </row>
    <row r="12" spans="1:8" x14ac:dyDescent="0.25">
      <c r="A12" t="s">
        <v>133</v>
      </c>
      <c r="B12">
        <v>26</v>
      </c>
      <c r="C12">
        <v>30.098653793334961</v>
      </c>
      <c r="D12">
        <f t="shared" si="0"/>
        <v>4.0986537933349609</v>
      </c>
      <c r="E12">
        <f t="shared" si="1"/>
        <v>0.94188690185546875</v>
      </c>
      <c r="F12">
        <v>1</v>
      </c>
      <c r="G12">
        <v>3</v>
      </c>
      <c r="H12">
        <v>422</v>
      </c>
    </row>
    <row r="13" spans="1:8" x14ac:dyDescent="0.25">
      <c r="A13" t="s">
        <v>134</v>
      </c>
      <c r="B13">
        <v>26</v>
      </c>
      <c r="C13">
        <v>31.04054069519043</v>
      </c>
      <c r="D13">
        <f t="shared" si="0"/>
        <v>5.0405406951904297</v>
      </c>
      <c r="E13">
        <f t="shared" si="1"/>
        <v>0</v>
      </c>
      <c r="F13">
        <v>1</v>
      </c>
      <c r="G13">
        <v>3</v>
      </c>
      <c r="H13">
        <v>422</v>
      </c>
    </row>
    <row r="14" spans="1:8" x14ac:dyDescent="0.25">
      <c r="A14" t="s">
        <v>135</v>
      </c>
      <c r="B14">
        <v>26</v>
      </c>
      <c r="C14">
        <v>37.612968444824219</v>
      </c>
      <c r="D14">
        <f t="shared" si="0"/>
        <v>11.612968444824219</v>
      </c>
      <c r="E14">
        <f t="shared" si="1"/>
        <v>8.5494995117194605E-2</v>
      </c>
      <c r="F14">
        <v>1</v>
      </c>
      <c r="G14">
        <v>3</v>
      </c>
      <c r="H14">
        <v>492</v>
      </c>
    </row>
    <row r="15" spans="1:8" x14ac:dyDescent="0.25">
      <c r="A15" t="s">
        <v>136</v>
      </c>
      <c r="B15">
        <v>26</v>
      </c>
      <c r="C15">
        <v>37.698463439941413</v>
      </c>
      <c r="D15">
        <f t="shared" si="0"/>
        <v>11.698463439941413</v>
      </c>
      <c r="E15">
        <f t="shared" si="1"/>
        <v>0</v>
      </c>
      <c r="F15">
        <v>1</v>
      </c>
      <c r="G15">
        <v>3</v>
      </c>
      <c r="H15">
        <v>492</v>
      </c>
    </row>
    <row r="16" spans="1:8" x14ac:dyDescent="0.25">
      <c r="A16" t="s">
        <v>137</v>
      </c>
      <c r="B16">
        <v>23</v>
      </c>
      <c r="C16">
        <v>46.459667205810547</v>
      </c>
      <c r="D16">
        <f t="shared" si="0"/>
        <v>23.459667205810547</v>
      </c>
      <c r="E16">
        <f t="shared" si="1"/>
        <v>3.9939880371164804E-3</v>
      </c>
      <c r="F16">
        <v>2</v>
      </c>
      <c r="G16">
        <v>3</v>
      </c>
      <c r="H16">
        <v>502</v>
      </c>
    </row>
    <row r="17" spans="1:8" x14ac:dyDescent="0.25">
      <c r="A17" t="s">
        <v>138</v>
      </c>
      <c r="B17">
        <v>23</v>
      </c>
      <c r="C17">
        <v>46.463661193847663</v>
      </c>
      <c r="D17">
        <f t="shared" si="0"/>
        <v>23.463661193847663</v>
      </c>
      <c r="E17">
        <f t="shared" si="1"/>
        <v>0</v>
      </c>
      <c r="F17">
        <v>2</v>
      </c>
      <c r="G17">
        <v>3</v>
      </c>
      <c r="H17">
        <v>502</v>
      </c>
    </row>
    <row r="18" spans="1:8" x14ac:dyDescent="0.25">
      <c r="A18" t="s">
        <v>139</v>
      </c>
      <c r="B18">
        <v>42</v>
      </c>
      <c r="C18">
        <v>54.939689636230469</v>
      </c>
      <c r="D18">
        <f t="shared" si="0"/>
        <v>12.939689636230469</v>
      </c>
      <c r="E18">
        <f t="shared" si="1"/>
        <v>2.5577850341796875</v>
      </c>
      <c r="F18">
        <v>2</v>
      </c>
      <c r="G18">
        <v>3</v>
      </c>
      <c r="H18">
        <v>505</v>
      </c>
    </row>
    <row r="19" spans="1:8" x14ac:dyDescent="0.25">
      <c r="A19" t="s">
        <v>140</v>
      </c>
      <c r="B19">
        <v>42</v>
      </c>
      <c r="C19">
        <v>52.381904602050781</v>
      </c>
      <c r="D19">
        <f t="shared" si="0"/>
        <v>10.381904602050781</v>
      </c>
      <c r="E19">
        <f t="shared" si="1"/>
        <v>0</v>
      </c>
      <c r="F19">
        <v>2</v>
      </c>
      <c r="G19">
        <v>3</v>
      </c>
      <c r="H19">
        <v>505</v>
      </c>
    </row>
    <row r="20" spans="1:8" x14ac:dyDescent="0.25">
      <c r="A20" t="s">
        <v>141</v>
      </c>
      <c r="B20">
        <v>32</v>
      </c>
      <c r="C20">
        <v>39.534694671630859</v>
      </c>
      <c r="D20">
        <f t="shared" si="0"/>
        <v>7.5346946716308594</v>
      </c>
      <c r="E20">
        <f t="shared" si="1"/>
        <v>0.37765121459960938</v>
      </c>
      <c r="F20">
        <v>1</v>
      </c>
      <c r="G20">
        <v>3</v>
      </c>
      <c r="H20">
        <v>656</v>
      </c>
    </row>
    <row r="21" spans="1:8" x14ac:dyDescent="0.25">
      <c r="A21" t="s">
        <v>142</v>
      </c>
      <c r="B21">
        <v>32</v>
      </c>
      <c r="C21">
        <v>39.15704345703125</v>
      </c>
      <c r="D21">
        <f t="shared" si="0"/>
        <v>7.15704345703125</v>
      </c>
      <c r="E21">
        <f t="shared" si="1"/>
        <v>0</v>
      </c>
      <c r="F21">
        <v>1</v>
      </c>
      <c r="G21">
        <v>3</v>
      </c>
      <c r="H21">
        <v>656</v>
      </c>
    </row>
    <row r="22" spans="1:8" x14ac:dyDescent="0.25">
      <c r="A22" t="s">
        <v>143</v>
      </c>
      <c r="B22">
        <v>30</v>
      </c>
      <c r="C22">
        <v>31.111200332641602</v>
      </c>
      <c r="D22">
        <f t="shared" si="0"/>
        <v>1.1112003326416016</v>
      </c>
      <c r="E22">
        <f t="shared" si="1"/>
        <v>0.66885375976562145</v>
      </c>
      <c r="F22">
        <v>2</v>
      </c>
      <c r="G22">
        <v>3</v>
      </c>
      <c r="H22">
        <v>679</v>
      </c>
    </row>
    <row r="23" spans="1:8" x14ac:dyDescent="0.25">
      <c r="A23" t="s">
        <v>144</v>
      </c>
      <c r="B23">
        <v>30</v>
      </c>
      <c r="C23">
        <v>30.44234657287598</v>
      </c>
      <c r="D23">
        <f t="shared" si="0"/>
        <v>0.44234657287598012</v>
      </c>
      <c r="E23">
        <f t="shared" si="1"/>
        <v>0</v>
      </c>
      <c r="F23">
        <v>2</v>
      </c>
      <c r="G23">
        <v>3</v>
      </c>
      <c r="H23">
        <v>679</v>
      </c>
    </row>
    <row r="24" spans="1:8" x14ac:dyDescent="0.25">
      <c r="A24" t="s">
        <v>145</v>
      </c>
      <c r="B24">
        <v>49</v>
      </c>
      <c r="C24">
        <v>31.611953735351559</v>
      </c>
      <c r="D24">
        <f t="shared" si="0"/>
        <v>17.388046264648441</v>
      </c>
      <c r="E24">
        <f t="shared" si="1"/>
        <v>7.2381172180175817</v>
      </c>
      <c r="F24">
        <v>2</v>
      </c>
      <c r="G24">
        <v>3</v>
      </c>
      <c r="H24">
        <v>742</v>
      </c>
    </row>
    <row r="25" spans="1:8" x14ac:dyDescent="0.25">
      <c r="A25" t="s">
        <v>146</v>
      </c>
      <c r="B25">
        <v>49</v>
      </c>
      <c r="C25">
        <v>38.850070953369141</v>
      </c>
      <c r="D25">
        <f t="shared" si="0"/>
        <v>10.149929046630859</v>
      </c>
      <c r="E25">
        <f t="shared" si="1"/>
        <v>0</v>
      </c>
      <c r="F25">
        <v>2</v>
      </c>
      <c r="G25">
        <v>3</v>
      </c>
      <c r="H25">
        <v>742</v>
      </c>
    </row>
    <row r="26" spans="1:8" x14ac:dyDescent="0.25">
      <c r="A26" t="s">
        <v>147</v>
      </c>
      <c r="B26">
        <v>29</v>
      </c>
      <c r="C26">
        <v>43.058975219726563</v>
      </c>
      <c r="D26">
        <f t="shared" si="0"/>
        <v>14.058975219726563</v>
      </c>
      <c r="E26">
        <f t="shared" si="1"/>
        <v>0.5766448974609375</v>
      </c>
      <c r="F26">
        <v>2</v>
      </c>
      <c r="G26">
        <v>3</v>
      </c>
      <c r="H26">
        <v>800</v>
      </c>
    </row>
    <row r="27" spans="1:8" x14ac:dyDescent="0.25">
      <c r="A27" t="s">
        <v>148</v>
      </c>
      <c r="B27">
        <v>29</v>
      </c>
      <c r="C27">
        <v>43.6356201171875</v>
      </c>
      <c r="D27">
        <f t="shared" si="0"/>
        <v>14.6356201171875</v>
      </c>
      <c r="E27">
        <f t="shared" si="1"/>
        <v>0</v>
      </c>
      <c r="F27">
        <v>2</v>
      </c>
      <c r="G27">
        <v>3</v>
      </c>
      <c r="H27">
        <v>800</v>
      </c>
    </row>
    <row r="28" spans="1:8" x14ac:dyDescent="0.25">
      <c r="A28" t="s">
        <v>149</v>
      </c>
      <c r="B28">
        <v>34</v>
      </c>
      <c r="C28">
        <v>41.880504608154297</v>
      </c>
      <c r="D28">
        <f t="shared" si="0"/>
        <v>7.8805046081542969</v>
      </c>
      <c r="E28">
        <f t="shared" si="1"/>
        <v>1.5735855102539063</v>
      </c>
      <c r="F28">
        <v>1</v>
      </c>
      <c r="G28">
        <v>3</v>
      </c>
      <c r="H28">
        <v>814</v>
      </c>
    </row>
    <row r="29" spans="1:8" x14ac:dyDescent="0.25">
      <c r="A29" t="s">
        <v>150</v>
      </c>
      <c r="B29">
        <v>34</v>
      </c>
      <c r="C29">
        <v>40.306919097900391</v>
      </c>
      <c r="D29">
        <f t="shared" si="0"/>
        <v>6.3069190979003906</v>
      </c>
      <c r="E29">
        <f t="shared" si="1"/>
        <v>0</v>
      </c>
      <c r="F29">
        <v>1</v>
      </c>
      <c r="G29">
        <v>3</v>
      </c>
      <c r="H29">
        <v>814</v>
      </c>
    </row>
    <row r="30" spans="1:8" x14ac:dyDescent="0.25">
      <c r="A30" t="s">
        <v>151</v>
      </c>
      <c r="B30">
        <v>38</v>
      </c>
      <c r="C30">
        <v>43.956619262695313</v>
      </c>
      <c r="D30">
        <f t="shared" si="0"/>
        <v>5.9566192626953125</v>
      </c>
      <c r="E30">
        <f t="shared" si="1"/>
        <v>1.5624465942382813</v>
      </c>
      <c r="F30">
        <v>2</v>
      </c>
      <c r="G30">
        <v>3</v>
      </c>
      <c r="H30">
        <v>815</v>
      </c>
    </row>
    <row r="31" spans="1:8" x14ac:dyDescent="0.25">
      <c r="A31" t="s">
        <v>152</v>
      </c>
      <c r="B31">
        <v>38</v>
      </c>
      <c r="C31">
        <v>42.394172668457031</v>
      </c>
      <c r="D31">
        <f t="shared" si="0"/>
        <v>4.3941726684570313</v>
      </c>
      <c r="E31">
        <f t="shared" si="1"/>
        <v>0</v>
      </c>
      <c r="F31">
        <v>2</v>
      </c>
      <c r="G31">
        <v>3</v>
      </c>
      <c r="H31">
        <v>815</v>
      </c>
    </row>
    <row r="32" spans="1:8" x14ac:dyDescent="0.25">
      <c r="A32" t="s">
        <v>153</v>
      </c>
      <c r="B32">
        <v>25</v>
      </c>
      <c r="C32">
        <v>27.584121704101559</v>
      </c>
      <c r="D32">
        <f t="shared" si="0"/>
        <v>2.5841217041015589</v>
      </c>
      <c r="E32">
        <f t="shared" si="1"/>
        <v>0.24053573608397727</v>
      </c>
      <c r="F32">
        <v>1</v>
      </c>
      <c r="G32">
        <v>3</v>
      </c>
      <c r="H32">
        <v>849</v>
      </c>
    </row>
    <row r="33" spans="1:8" x14ac:dyDescent="0.25">
      <c r="A33" t="s">
        <v>154</v>
      </c>
      <c r="B33">
        <v>25</v>
      </c>
      <c r="C33">
        <v>27.343585968017582</v>
      </c>
      <c r="D33">
        <f t="shared" si="0"/>
        <v>2.3435859680175817</v>
      </c>
      <c r="E33">
        <f t="shared" si="1"/>
        <v>0</v>
      </c>
      <c r="F33">
        <v>1</v>
      </c>
      <c r="G33">
        <v>3</v>
      </c>
      <c r="H33">
        <v>849</v>
      </c>
    </row>
    <row r="34" spans="1:8" x14ac:dyDescent="0.25">
      <c r="A34" t="s">
        <v>155</v>
      </c>
      <c r="B34">
        <v>25</v>
      </c>
      <c r="C34">
        <v>33.08160400390625</v>
      </c>
      <c r="D34">
        <f t="shared" si="0"/>
        <v>8.08160400390625</v>
      </c>
      <c r="E34">
        <f t="shared" si="1"/>
        <v>0.95474624633789063</v>
      </c>
      <c r="F34">
        <v>1</v>
      </c>
      <c r="G34">
        <v>3</v>
      </c>
      <c r="H34">
        <v>906</v>
      </c>
    </row>
    <row r="35" spans="1:8" x14ac:dyDescent="0.25">
      <c r="A35" t="s">
        <v>156</v>
      </c>
      <c r="B35">
        <v>25</v>
      </c>
      <c r="C35">
        <v>34.036350250244141</v>
      </c>
      <c r="D35">
        <f t="shared" si="0"/>
        <v>9.0363502502441406</v>
      </c>
      <c r="E35">
        <f t="shared" si="1"/>
        <v>0</v>
      </c>
      <c r="F35">
        <v>1</v>
      </c>
      <c r="G35">
        <v>3</v>
      </c>
      <c r="H35">
        <v>906</v>
      </c>
    </row>
    <row r="36" spans="1:8" x14ac:dyDescent="0.25">
      <c r="A36" t="s">
        <v>157</v>
      </c>
      <c r="B36">
        <v>25</v>
      </c>
      <c r="C36">
        <v>27.859609603881839</v>
      </c>
      <c r="D36">
        <f t="shared" si="0"/>
        <v>2.8596096038818395</v>
      </c>
      <c r="E36">
        <f t="shared" si="1"/>
        <v>1.6076583862304616</v>
      </c>
      <c r="F36">
        <v>1</v>
      </c>
      <c r="G36">
        <v>3</v>
      </c>
      <c r="H36">
        <v>913</v>
      </c>
    </row>
    <row r="37" spans="1:8" x14ac:dyDescent="0.25">
      <c r="A37" t="s">
        <v>158</v>
      </c>
      <c r="B37">
        <v>25</v>
      </c>
      <c r="C37">
        <v>29.467267990112301</v>
      </c>
      <c r="D37">
        <f t="shared" si="0"/>
        <v>4.4672679901123011</v>
      </c>
      <c r="E37">
        <f t="shared" si="1"/>
        <v>0</v>
      </c>
      <c r="F37">
        <v>1</v>
      </c>
      <c r="G37">
        <v>3</v>
      </c>
      <c r="H37">
        <v>913</v>
      </c>
    </row>
    <row r="38" spans="1:8" x14ac:dyDescent="0.25">
      <c r="A38" t="s">
        <v>159</v>
      </c>
      <c r="B38">
        <v>30</v>
      </c>
      <c r="C38">
        <v>31.652597427368161</v>
      </c>
      <c r="D38">
        <f t="shared" si="0"/>
        <v>1.6525974273681605</v>
      </c>
      <c r="E38">
        <f t="shared" si="1"/>
        <v>1.4662342071533168</v>
      </c>
      <c r="F38">
        <v>1</v>
      </c>
      <c r="G38">
        <v>3</v>
      </c>
      <c r="H38">
        <v>916</v>
      </c>
    </row>
    <row r="39" spans="1:8" x14ac:dyDescent="0.25">
      <c r="A39" t="s">
        <v>160</v>
      </c>
      <c r="B39">
        <v>30</v>
      </c>
      <c r="C39">
        <v>33.118831634521477</v>
      </c>
      <c r="D39">
        <f t="shared" si="0"/>
        <v>3.1188316345214773</v>
      </c>
      <c r="E39">
        <f t="shared" si="1"/>
        <v>0</v>
      </c>
      <c r="F39">
        <v>1</v>
      </c>
      <c r="G39">
        <v>3</v>
      </c>
      <c r="H39">
        <v>916</v>
      </c>
    </row>
    <row r="40" spans="1:8" x14ac:dyDescent="0.25">
      <c r="A40" t="s">
        <v>161</v>
      </c>
      <c r="B40">
        <v>61</v>
      </c>
      <c r="C40">
        <v>60.397167205810547</v>
      </c>
      <c r="D40">
        <f t="shared" si="0"/>
        <v>0.60283279418945313</v>
      </c>
      <c r="E40">
        <f t="shared" si="1"/>
        <v>0.85054779052734375</v>
      </c>
      <c r="F40">
        <v>2</v>
      </c>
      <c r="G40">
        <v>3</v>
      </c>
      <c r="H40">
        <v>934</v>
      </c>
    </row>
    <row r="41" spans="1:8" x14ac:dyDescent="0.25">
      <c r="A41" t="s">
        <v>162</v>
      </c>
      <c r="B41">
        <v>61</v>
      </c>
      <c r="C41">
        <v>59.546619415283203</v>
      </c>
      <c r="D41">
        <f t="shared" si="0"/>
        <v>1.4533805847167969</v>
      </c>
      <c r="E41">
        <f t="shared" si="1"/>
        <v>0</v>
      </c>
      <c r="F41">
        <v>2</v>
      </c>
      <c r="G41">
        <v>3</v>
      </c>
      <c r="H41">
        <v>934</v>
      </c>
    </row>
    <row r="42" spans="1:8" x14ac:dyDescent="0.25">
      <c r="A42" t="s">
        <v>163</v>
      </c>
      <c r="B42">
        <v>38</v>
      </c>
      <c r="C42">
        <v>42.943138122558587</v>
      </c>
      <c r="D42">
        <f t="shared" si="0"/>
        <v>4.9431381225585866</v>
      </c>
      <c r="E42">
        <f t="shared" si="1"/>
        <v>0.26596069335936789</v>
      </c>
      <c r="F42">
        <v>1</v>
      </c>
      <c r="G42">
        <v>3</v>
      </c>
      <c r="H42">
        <v>959</v>
      </c>
    </row>
    <row r="43" spans="1:8" x14ac:dyDescent="0.25">
      <c r="A43" t="s">
        <v>164</v>
      </c>
      <c r="B43">
        <v>38</v>
      </c>
      <c r="C43">
        <v>42.677177429199219</v>
      </c>
      <c r="D43">
        <f t="shared" si="0"/>
        <v>4.6771774291992188</v>
      </c>
      <c r="E43">
        <f t="shared" si="1"/>
        <v>0</v>
      </c>
      <c r="F43">
        <v>1</v>
      </c>
      <c r="G43">
        <v>3</v>
      </c>
      <c r="H43">
        <v>959</v>
      </c>
    </row>
  </sheetData>
  <phoneticPr fontId="2" type="noConversion"/>
  <conditionalFormatting sqref="E2:E43">
    <cfRule type="cellIs" dxfId="7" priority="1" operator="between">
      <formula>1000</formula>
      <formula>6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3"/>
  <sheetViews>
    <sheetView topLeftCell="A13" workbookViewId="0">
      <selection activeCell="D44" sqref="D44"/>
    </sheetView>
  </sheetViews>
  <sheetFormatPr defaultRowHeight="15.75" x14ac:dyDescent="0.25"/>
  <cols>
    <col min="1" max="1" width="12" bestFit="1" customWidth="1"/>
    <col min="2" max="2" width="10.5703125" bestFit="1" customWidth="1"/>
    <col min="3" max="3" width="15.5703125" bestFit="1" customWidth="1"/>
    <col min="4" max="5" width="13" bestFit="1" customWidth="1"/>
    <col min="6" max="6" width="27.140625" bestFit="1" customWidth="1"/>
    <col min="8" max="8" width="5.42578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205</v>
      </c>
      <c r="E1" s="1" t="s">
        <v>206</v>
      </c>
      <c r="F1" s="1" t="s">
        <v>230</v>
      </c>
      <c r="G1" s="1" t="s">
        <v>231</v>
      </c>
      <c r="H1" s="1" t="s">
        <v>209</v>
      </c>
    </row>
    <row r="2" spans="1:8" x14ac:dyDescent="0.25">
      <c r="A2" t="s">
        <v>123</v>
      </c>
      <c r="B2">
        <v>28</v>
      </c>
      <c r="C2">
        <v>42.113632202148438</v>
      </c>
      <c r="D2">
        <f>ABS(C2-B2)</f>
        <v>14.113632202148438</v>
      </c>
      <c r="E2">
        <f>IF(COUNTIF($H:$H,H2)=2,ABS(C2-_xlfn.XLOOKUP(H2,$H:$H,$C:$C,"",0,-1)),"")</f>
        <v>2.38763427734375</v>
      </c>
      <c r="F2">
        <v>2</v>
      </c>
      <c r="G2">
        <v>3</v>
      </c>
      <c r="H2">
        <v>113</v>
      </c>
    </row>
    <row r="3" spans="1:8" x14ac:dyDescent="0.25">
      <c r="A3" t="s">
        <v>124</v>
      </c>
      <c r="B3">
        <v>28</v>
      </c>
      <c r="C3">
        <v>39.725997924804688</v>
      </c>
      <c r="D3">
        <f t="shared" ref="D3:D43" si="0">ABS(C3-B3)</f>
        <v>11.725997924804688</v>
      </c>
      <c r="E3">
        <f t="shared" ref="E3:E43" si="1">IF(COUNTIF($H:$H,H3)=2,ABS(C3-_xlfn.XLOOKUP(H3,$H:$H,$C:$C,"",0,-1)),"")</f>
        <v>0</v>
      </c>
      <c r="F3">
        <v>2</v>
      </c>
      <c r="G3">
        <v>3</v>
      </c>
      <c r="H3">
        <v>113</v>
      </c>
    </row>
    <row r="4" spans="1:8" x14ac:dyDescent="0.25">
      <c r="A4" t="s">
        <v>125</v>
      </c>
      <c r="B4">
        <v>30</v>
      </c>
      <c r="C4">
        <v>30.620271682739261</v>
      </c>
      <c r="D4">
        <f t="shared" si="0"/>
        <v>0.62027168273926137</v>
      </c>
      <c r="E4">
        <f t="shared" si="1"/>
        <v>1.2722015380859375</v>
      </c>
      <c r="F4">
        <v>1</v>
      </c>
      <c r="G4">
        <v>3</v>
      </c>
      <c r="H4">
        <v>127</v>
      </c>
    </row>
    <row r="5" spans="1:8" x14ac:dyDescent="0.25">
      <c r="A5" t="s">
        <v>126</v>
      </c>
      <c r="B5">
        <v>30</v>
      </c>
      <c r="C5">
        <v>31.892473220825199</v>
      </c>
      <c r="D5">
        <f t="shared" si="0"/>
        <v>1.8924732208251989</v>
      </c>
      <c r="E5">
        <f t="shared" si="1"/>
        <v>0</v>
      </c>
      <c r="F5">
        <v>1</v>
      </c>
      <c r="G5">
        <v>3</v>
      </c>
      <c r="H5">
        <v>127</v>
      </c>
    </row>
    <row r="6" spans="1:8" x14ac:dyDescent="0.25">
      <c r="A6" t="s">
        <v>127</v>
      </c>
      <c r="B6">
        <v>28</v>
      </c>
      <c r="C6">
        <v>42.595809936523438</v>
      </c>
      <c r="D6">
        <f t="shared" si="0"/>
        <v>14.595809936523438</v>
      </c>
      <c r="E6">
        <f t="shared" si="1"/>
        <v>0.83639907836914063</v>
      </c>
      <c r="F6">
        <v>1</v>
      </c>
      <c r="G6">
        <v>3</v>
      </c>
      <c r="H6">
        <v>142</v>
      </c>
    </row>
    <row r="7" spans="1:8" x14ac:dyDescent="0.25">
      <c r="A7" t="s">
        <v>128</v>
      </c>
      <c r="B7">
        <v>28</v>
      </c>
      <c r="C7">
        <v>41.759410858154297</v>
      </c>
      <c r="D7">
        <f t="shared" si="0"/>
        <v>13.759410858154297</v>
      </c>
      <c r="E7">
        <f t="shared" si="1"/>
        <v>0</v>
      </c>
      <c r="F7">
        <v>1</v>
      </c>
      <c r="G7">
        <v>3</v>
      </c>
      <c r="H7">
        <v>142</v>
      </c>
    </row>
    <row r="8" spans="1:8" x14ac:dyDescent="0.25">
      <c r="A8" t="s">
        <v>129</v>
      </c>
      <c r="B8">
        <v>26</v>
      </c>
      <c r="C8">
        <v>26.521417617797852</v>
      </c>
      <c r="D8">
        <f t="shared" si="0"/>
        <v>0.52141761779785156</v>
      </c>
      <c r="E8">
        <f t="shared" si="1"/>
        <v>1.2304306030269885E-2</v>
      </c>
      <c r="F8">
        <v>2</v>
      </c>
      <c r="G8">
        <v>3</v>
      </c>
      <c r="H8">
        <v>239</v>
      </c>
    </row>
    <row r="9" spans="1:8" x14ac:dyDescent="0.25">
      <c r="A9" t="s">
        <v>130</v>
      </c>
      <c r="B9">
        <v>26</v>
      </c>
      <c r="C9">
        <v>26.509113311767582</v>
      </c>
      <c r="D9">
        <f t="shared" si="0"/>
        <v>0.50911331176758168</v>
      </c>
      <c r="E9">
        <f t="shared" si="1"/>
        <v>0</v>
      </c>
      <c r="F9">
        <v>2</v>
      </c>
      <c r="G9">
        <v>3</v>
      </c>
      <c r="H9">
        <v>239</v>
      </c>
    </row>
    <row r="10" spans="1:8" x14ac:dyDescent="0.25">
      <c r="A10" t="s">
        <v>131</v>
      </c>
      <c r="B10">
        <v>22</v>
      </c>
      <c r="C10">
        <v>34.098110198974609</v>
      </c>
      <c r="D10">
        <f t="shared" si="0"/>
        <v>12.098110198974609</v>
      </c>
      <c r="E10">
        <f t="shared" si="1"/>
        <v>1.8990097045898366</v>
      </c>
      <c r="F10">
        <v>2</v>
      </c>
      <c r="G10">
        <v>3</v>
      </c>
      <c r="H10">
        <v>346</v>
      </c>
    </row>
    <row r="11" spans="1:8" x14ac:dyDescent="0.25">
      <c r="A11" t="s">
        <v>132</v>
      </c>
      <c r="B11">
        <v>22</v>
      </c>
      <c r="C11">
        <v>32.199100494384773</v>
      </c>
      <c r="D11">
        <f t="shared" si="0"/>
        <v>10.199100494384773</v>
      </c>
      <c r="E11">
        <f t="shared" si="1"/>
        <v>0</v>
      </c>
      <c r="F11">
        <v>2</v>
      </c>
      <c r="G11">
        <v>3</v>
      </c>
      <c r="H11">
        <v>346</v>
      </c>
    </row>
    <row r="12" spans="1:8" x14ac:dyDescent="0.25">
      <c r="A12" t="s">
        <v>133</v>
      </c>
      <c r="B12">
        <v>26</v>
      </c>
      <c r="C12">
        <v>26.463174819946289</v>
      </c>
      <c r="D12">
        <f t="shared" si="0"/>
        <v>0.46317481994628906</v>
      </c>
      <c r="E12">
        <f t="shared" si="1"/>
        <v>0.33858299255370738</v>
      </c>
      <c r="F12">
        <v>1</v>
      </c>
      <c r="G12">
        <v>3</v>
      </c>
      <c r="H12">
        <v>422</v>
      </c>
    </row>
    <row r="13" spans="1:8" x14ac:dyDescent="0.25">
      <c r="A13" t="s">
        <v>134</v>
      </c>
      <c r="B13">
        <v>26</v>
      </c>
      <c r="C13">
        <v>26.124591827392582</v>
      </c>
      <c r="D13">
        <f t="shared" si="0"/>
        <v>0.12459182739258168</v>
      </c>
      <c r="E13">
        <f t="shared" si="1"/>
        <v>0</v>
      </c>
      <c r="F13">
        <v>1</v>
      </c>
      <c r="G13">
        <v>3</v>
      </c>
      <c r="H13">
        <v>422</v>
      </c>
    </row>
    <row r="14" spans="1:8" x14ac:dyDescent="0.25">
      <c r="A14" t="s">
        <v>135</v>
      </c>
      <c r="B14">
        <v>26</v>
      </c>
      <c r="C14">
        <v>31.934743881225589</v>
      </c>
      <c r="D14">
        <f t="shared" si="0"/>
        <v>5.9347438812255895</v>
      </c>
      <c r="E14">
        <f t="shared" si="1"/>
        <v>3.1544494628906286</v>
      </c>
      <c r="F14">
        <v>1</v>
      </c>
      <c r="G14">
        <v>3</v>
      </c>
      <c r="H14">
        <v>492</v>
      </c>
    </row>
    <row r="15" spans="1:8" x14ac:dyDescent="0.25">
      <c r="A15" t="s">
        <v>136</v>
      </c>
      <c r="B15">
        <v>26</v>
      </c>
      <c r="C15">
        <v>28.780294418334961</v>
      </c>
      <c r="D15">
        <f t="shared" si="0"/>
        <v>2.7802944183349609</v>
      </c>
      <c r="E15">
        <f t="shared" si="1"/>
        <v>0</v>
      </c>
      <c r="F15">
        <v>1</v>
      </c>
      <c r="G15">
        <v>3</v>
      </c>
      <c r="H15">
        <v>492</v>
      </c>
    </row>
    <row r="16" spans="1:8" x14ac:dyDescent="0.25">
      <c r="A16" t="s">
        <v>137</v>
      </c>
      <c r="B16">
        <v>23</v>
      </c>
      <c r="C16">
        <v>55.186203002929688</v>
      </c>
      <c r="D16">
        <f t="shared" si="0"/>
        <v>32.186203002929688</v>
      </c>
      <c r="E16">
        <f t="shared" si="1"/>
        <v>2.7375755310058594</v>
      </c>
      <c r="F16">
        <v>2</v>
      </c>
      <c r="G16">
        <v>3</v>
      </c>
      <c r="H16">
        <v>502</v>
      </c>
    </row>
    <row r="17" spans="1:8" x14ac:dyDescent="0.25">
      <c r="A17" t="s">
        <v>138</v>
      </c>
      <c r="B17">
        <v>23</v>
      </c>
      <c r="C17">
        <v>52.448627471923828</v>
      </c>
      <c r="D17">
        <f t="shared" si="0"/>
        <v>29.448627471923828</v>
      </c>
      <c r="E17">
        <f t="shared" si="1"/>
        <v>0</v>
      </c>
      <c r="F17">
        <v>2</v>
      </c>
      <c r="G17">
        <v>3</v>
      </c>
      <c r="H17">
        <v>502</v>
      </c>
    </row>
    <row r="18" spans="1:8" x14ac:dyDescent="0.25">
      <c r="A18" t="s">
        <v>139</v>
      </c>
      <c r="B18">
        <v>42</v>
      </c>
      <c r="C18">
        <v>54.192020416259773</v>
      </c>
      <c r="D18">
        <f t="shared" si="0"/>
        <v>12.192020416259773</v>
      </c>
      <c r="E18">
        <f t="shared" si="1"/>
        <v>0.46763992309569602</v>
      </c>
      <c r="F18">
        <v>2</v>
      </c>
      <c r="G18">
        <v>3</v>
      </c>
      <c r="H18">
        <v>505</v>
      </c>
    </row>
    <row r="19" spans="1:8" x14ac:dyDescent="0.25">
      <c r="A19" t="s">
        <v>140</v>
      </c>
      <c r="B19">
        <v>42</v>
      </c>
      <c r="C19">
        <v>54.659660339355469</v>
      </c>
      <c r="D19">
        <f t="shared" si="0"/>
        <v>12.659660339355469</v>
      </c>
      <c r="E19">
        <f t="shared" si="1"/>
        <v>0</v>
      </c>
      <c r="F19">
        <v>2</v>
      </c>
      <c r="G19">
        <v>3</v>
      </c>
      <c r="H19">
        <v>505</v>
      </c>
    </row>
    <row r="20" spans="1:8" x14ac:dyDescent="0.25">
      <c r="A20" t="s">
        <v>141</v>
      </c>
      <c r="B20">
        <v>32</v>
      </c>
      <c r="C20">
        <v>36.402378082275391</v>
      </c>
      <c r="D20">
        <f t="shared" si="0"/>
        <v>4.4023780822753906</v>
      </c>
      <c r="E20">
        <f t="shared" si="1"/>
        <v>2.5547676086425781</v>
      </c>
      <c r="F20">
        <v>1</v>
      </c>
      <c r="G20">
        <v>3</v>
      </c>
      <c r="H20">
        <v>656</v>
      </c>
    </row>
    <row r="21" spans="1:8" x14ac:dyDescent="0.25">
      <c r="A21" t="s">
        <v>142</v>
      </c>
      <c r="B21">
        <v>32</v>
      </c>
      <c r="C21">
        <v>33.847610473632813</v>
      </c>
      <c r="D21">
        <f t="shared" si="0"/>
        <v>1.8476104736328125</v>
      </c>
      <c r="E21">
        <f t="shared" si="1"/>
        <v>0</v>
      </c>
      <c r="F21">
        <v>1</v>
      </c>
      <c r="G21">
        <v>3</v>
      </c>
      <c r="H21">
        <v>656</v>
      </c>
    </row>
    <row r="22" spans="1:8" x14ac:dyDescent="0.25">
      <c r="A22" t="s">
        <v>143</v>
      </c>
      <c r="B22">
        <v>30</v>
      </c>
      <c r="C22">
        <v>29.326730728149411</v>
      </c>
      <c r="D22">
        <f t="shared" si="0"/>
        <v>0.67326927185058949</v>
      </c>
      <c r="E22">
        <f t="shared" si="1"/>
        <v>0.90729904174805043</v>
      </c>
      <c r="F22">
        <v>2</v>
      </c>
      <c r="G22">
        <v>3</v>
      </c>
      <c r="H22">
        <v>679</v>
      </c>
    </row>
    <row r="23" spans="1:8" x14ac:dyDescent="0.25">
      <c r="A23" t="s">
        <v>144</v>
      </c>
      <c r="B23">
        <v>30</v>
      </c>
      <c r="C23">
        <v>30.234029769897461</v>
      </c>
      <c r="D23">
        <f t="shared" si="0"/>
        <v>0.23402976989746094</v>
      </c>
      <c r="E23">
        <f t="shared" si="1"/>
        <v>0</v>
      </c>
      <c r="F23">
        <v>2</v>
      </c>
      <c r="G23">
        <v>3</v>
      </c>
      <c r="H23">
        <v>679</v>
      </c>
    </row>
    <row r="24" spans="1:8" x14ac:dyDescent="0.25">
      <c r="A24" t="s">
        <v>145</v>
      </c>
      <c r="B24">
        <v>49</v>
      </c>
      <c r="C24">
        <v>28.536930084228519</v>
      </c>
      <c r="D24">
        <f t="shared" si="0"/>
        <v>20.463069915771481</v>
      </c>
      <c r="E24">
        <f t="shared" si="1"/>
        <v>7.0305747985839808</v>
      </c>
      <c r="F24">
        <v>2</v>
      </c>
      <c r="G24">
        <v>3</v>
      </c>
      <c r="H24">
        <v>742</v>
      </c>
    </row>
    <row r="25" spans="1:8" x14ac:dyDescent="0.25">
      <c r="A25" t="s">
        <v>146</v>
      </c>
      <c r="B25">
        <v>49</v>
      </c>
      <c r="C25">
        <v>35.5675048828125</v>
      </c>
      <c r="D25">
        <f t="shared" si="0"/>
        <v>13.4324951171875</v>
      </c>
      <c r="E25">
        <f t="shared" si="1"/>
        <v>0</v>
      </c>
      <c r="F25">
        <v>2</v>
      </c>
      <c r="G25">
        <v>3</v>
      </c>
      <c r="H25">
        <v>742</v>
      </c>
    </row>
    <row r="26" spans="1:8" x14ac:dyDescent="0.25">
      <c r="A26" t="s">
        <v>147</v>
      </c>
      <c r="B26">
        <v>29</v>
      </c>
      <c r="C26">
        <v>39.958259582519531</v>
      </c>
      <c r="D26">
        <f t="shared" si="0"/>
        <v>10.958259582519531</v>
      </c>
      <c r="E26">
        <f t="shared" si="1"/>
        <v>0.21242523193359375</v>
      </c>
      <c r="F26">
        <v>2</v>
      </c>
      <c r="G26">
        <v>3</v>
      </c>
      <c r="H26">
        <v>800</v>
      </c>
    </row>
    <row r="27" spans="1:8" x14ac:dyDescent="0.25">
      <c r="A27" t="s">
        <v>148</v>
      </c>
      <c r="B27">
        <v>29</v>
      </c>
      <c r="C27">
        <v>39.745834350585938</v>
      </c>
      <c r="D27">
        <f t="shared" si="0"/>
        <v>10.745834350585938</v>
      </c>
      <c r="E27">
        <f t="shared" si="1"/>
        <v>0</v>
      </c>
      <c r="F27">
        <v>2</v>
      </c>
      <c r="G27">
        <v>3</v>
      </c>
      <c r="H27">
        <v>800</v>
      </c>
    </row>
    <row r="28" spans="1:8" x14ac:dyDescent="0.25">
      <c r="A28" t="s">
        <v>149</v>
      </c>
      <c r="B28">
        <v>34</v>
      </c>
      <c r="C28">
        <v>41.466205596923828</v>
      </c>
      <c r="D28">
        <f t="shared" si="0"/>
        <v>7.4662055969238281</v>
      </c>
      <c r="E28">
        <f t="shared" si="1"/>
        <v>0.39989471435546875</v>
      </c>
      <c r="F28">
        <v>1</v>
      </c>
      <c r="G28">
        <v>3</v>
      </c>
      <c r="H28">
        <v>814</v>
      </c>
    </row>
    <row r="29" spans="1:8" x14ac:dyDescent="0.25">
      <c r="A29" t="s">
        <v>150</v>
      </c>
      <c r="B29">
        <v>34</v>
      </c>
      <c r="C29">
        <v>41.866100311279297</v>
      </c>
      <c r="D29">
        <f t="shared" si="0"/>
        <v>7.8661003112792969</v>
      </c>
      <c r="E29">
        <f t="shared" si="1"/>
        <v>0</v>
      </c>
      <c r="F29">
        <v>1</v>
      </c>
      <c r="G29">
        <v>3</v>
      </c>
      <c r="H29">
        <v>814</v>
      </c>
    </row>
    <row r="30" spans="1:8" x14ac:dyDescent="0.25">
      <c r="A30" t="s">
        <v>151</v>
      </c>
      <c r="B30">
        <v>38</v>
      </c>
      <c r="C30">
        <v>38.152740478515618</v>
      </c>
      <c r="D30">
        <f t="shared" si="0"/>
        <v>0.15274047851561789</v>
      </c>
      <c r="E30">
        <f t="shared" si="1"/>
        <v>1.5524826049804545</v>
      </c>
      <c r="F30">
        <v>2</v>
      </c>
      <c r="G30">
        <v>3</v>
      </c>
      <c r="H30">
        <v>815</v>
      </c>
    </row>
    <row r="31" spans="1:8" x14ac:dyDescent="0.25">
      <c r="A31" t="s">
        <v>152</v>
      </c>
      <c r="B31">
        <v>38</v>
      </c>
      <c r="C31">
        <v>36.600257873535163</v>
      </c>
      <c r="D31">
        <f t="shared" si="0"/>
        <v>1.3997421264648366</v>
      </c>
      <c r="E31">
        <f t="shared" si="1"/>
        <v>0</v>
      </c>
      <c r="F31">
        <v>2</v>
      </c>
      <c r="G31">
        <v>3</v>
      </c>
      <c r="H31">
        <v>815</v>
      </c>
    </row>
    <row r="32" spans="1:8" x14ac:dyDescent="0.25">
      <c r="A32" t="s">
        <v>153</v>
      </c>
      <c r="B32">
        <v>25</v>
      </c>
      <c r="C32">
        <v>25.310543060302731</v>
      </c>
      <c r="D32">
        <f t="shared" si="0"/>
        <v>0.31054306030273082</v>
      </c>
      <c r="E32">
        <f t="shared" si="1"/>
        <v>9.3255996704101563E-2</v>
      </c>
      <c r="F32">
        <v>1</v>
      </c>
      <c r="G32">
        <v>3</v>
      </c>
      <c r="H32">
        <v>849</v>
      </c>
    </row>
    <row r="33" spans="1:8" x14ac:dyDescent="0.25">
      <c r="A33" t="s">
        <v>154</v>
      </c>
      <c r="B33">
        <v>25</v>
      </c>
      <c r="C33">
        <v>25.217287063598629</v>
      </c>
      <c r="D33">
        <f t="shared" si="0"/>
        <v>0.21728706359862926</v>
      </c>
      <c r="E33">
        <f t="shared" si="1"/>
        <v>0</v>
      </c>
      <c r="F33">
        <v>1</v>
      </c>
      <c r="G33">
        <v>3</v>
      </c>
      <c r="H33">
        <v>849</v>
      </c>
    </row>
    <row r="34" spans="1:8" x14ac:dyDescent="0.25">
      <c r="A34" t="s">
        <v>155</v>
      </c>
      <c r="B34">
        <v>25</v>
      </c>
      <c r="C34">
        <v>31.67350959777832</v>
      </c>
      <c r="D34">
        <f t="shared" si="0"/>
        <v>6.6735095977783203</v>
      </c>
      <c r="E34">
        <f t="shared" si="1"/>
        <v>0.87206649780273082</v>
      </c>
      <c r="F34">
        <v>1</v>
      </c>
      <c r="G34">
        <v>3</v>
      </c>
      <c r="H34">
        <v>906</v>
      </c>
    </row>
    <row r="35" spans="1:8" x14ac:dyDescent="0.25">
      <c r="A35" t="s">
        <v>156</v>
      </c>
      <c r="B35">
        <v>25</v>
      </c>
      <c r="C35">
        <v>30.801443099975589</v>
      </c>
      <c r="D35">
        <f t="shared" si="0"/>
        <v>5.8014430999755895</v>
      </c>
      <c r="E35">
        <f t="shared" si="1"/>
        <v>0</v>
      </c>
      <c r="F35">
        <v>1</v>
      </c>
      <c r="G35">
        <v>3</v>
      </c>
      <c r="H35">
        <v>906</v>
      </c>
    </row>
    <row r="36" spans="1:8" x14ac:dyDescent="0.25">
      <c r="A36" t="s">
        <v>157</v>
      </c>
      <c r="B36">
        <v>25</v>
      </c>
      <c r="C36">
        <v>28.062435150146481</v>
      </c>
      <c r="D36">
        <f t="shared" si="0"/>
        <v>3.0624351501464808</v>
      </c>
      <c r="E36">
        <f t="shared" si="1"/>
        <v>1.9391670227050781</v>
      </c>
      <c r="F36">
        <v>1</v>
      </c>
      <c r="G36">
        <v>3</v>
      </c>
      <c r="H36">
        <v>913</v>
      </c>
    </row>
    <row r="37" spans="1:8" x14ac:dyDescent="0.25">
      <c r="A37" t="s">
        <v>158</v>
      </c>
      <c r="B37">
        <v>25</v>
      </c>
      <c r="C37">
        <v>30.001602172851559</v>
      </c>
      <c r="D37">
        <f t="shared" si="0"/>
        <v>5.0016021728515589</v>
      </c>
      <c r="E37">
        <f t="shared" si="1"/>
        <v>0</v>
      </c>
      <c r="F37">
        <v>1</v>
      </c>
      <c r="G37">
        <v>3</v>
      </c>
      <c r="H37">
        <v>913</v>
      </c>
    </row>
    <row r="38" spans="1:8" x14ac:dyDescent="0.25">
      <c r="A38" t="s">
        <v>159</v>
      </c>
      <c r="B38">
        <v>30</v>
      </c>
      <c r="C38">
        <v>31.530874252319339</v>
      </c>
      <c r="D38">
        <f t="shared" si="0"/>
        <v>1.5308742523193395</v>
      </c>
      <c r="E38">
        <f t="shared" si="1"/>
        <v>0.89592933654784801</v>
      </c>
      <c r="F38">
        <v>1</v>
      </c>
      <c r="G38">
        <v>3</v>
      </c>
      <c r="H38">
        <v>916</v>
      </c>
    </row>
    <row r="39" spans="1:8" x14ac:dyDescent="0.25">
      <c r="A39" t="s">
        <v>160</v>
      </c>
      <c r="B39">
        <v>30</v>
      </c>
      <c r="C39">
        <v>32.426803588867188</v>
      </c>
      <c r="D39">
        <f t="shared" si="0"/>
        <v>2.4268035888671875</v>
      </c>
      <c r="E39">
        <f t="shared" si="1"/>
        <v>0</v>
      </c>
      <c r="F39">
        <v>1</v>
      </c>
      <c r="G39">
        <v>3</v>
      </c>
      <c r="H39">
        <v>916</v>
      </c>
    </row>
    <row r="40" spans="1:8" x14ac:dyDescent="0.25">
      <c r="A40" t="s">
        <v>161</v>
      </c>
      <c r="B40">
        <v>61</v>
      </c>
      <c r="C40">
        <v>53.584278106689453</v>
      </c>
      <c r="D40">
        <f t="shared" si="0"/>
        <v>7.4157218933105469</v>
      </c>
      <c r="E40">
        <f t="shared" si="1"/>
        <v>0.38534927368164063</v>
      </c>
      <c r="F40">
        <v>2</v>
      </c>
      <c r="G40">
        <v>3</v>
      </c>
      <c r="H40">
        <v>934</v>
      </c>
    </row>
    <row r="41" spans="1:8" x14ac:dyDescent="0.25">
      <c r="A41" t="s">
        <v>162</v>
      </c>
      <c r="B41">
        <v>61</v>
      </c>
      <c r="C41">
        <v>53.198928833007813</v>
      </c>
      <c r="D41">
        <f t="shared" si="0"/>
        <v>7.8010711669921875</v>
      </c>
      <c r="E41">
        <f t="shared" si="1"/>
        <v>0</v>
      </c>
      <c r="F41">
        <v>2</v>
      </c>
      <c r="G41">
        <v>3</v>
      </c>
      <c r="H41">
        <v>934</v>
      </c>
    </row>
    <row r="42" spans="1:8" x14ac:dyDescent="0.25">
      <c r="A42" t="s">
        <v>163</v>
      </c>
      <c r="B42">
        <v>38</v>
      </c>
      <c r="C42">
        <v>36.220104217529297</v>
      </c>
      <c r="D42">
        <f t="shared" si="0"/>
        <v>1.7798957824707031</v>
      </c>
      <c r="E42">
        <f t="shared" si="1"/>
        <v>1.5340347290039063</v>
      </c>
      <c r="F42">
        <v>1</v>
      </c>
      <c r="G42">
        <v>3</v>
      </c>
      <c r="H42">
        <v>959</v>
      </c>
    </row>
    <row r="43" spans="1:8" x14ac:dyDescent="0.25">
      <c r="A43" t="s">
        <v>164</v>
      </c>
      <c r="B43">
        <v>38</v>
      </c>
      <c r="C43">
        <v>34.686069488525391</v>
      </c>
      <c r="D43">
        <f t="shared" si="0"/>
        <v>3.3139305114746094</v>
      </c>
      <c r="E43">
        <f t="shared" si="1"/>
        <v>0</v>
      </c>
      <c r="F43">
        <v>1</v>
      </c>
      <c r="G43">
        <v>3</v>
      </c>
      <c r="H43">
        <v>959</v>
      </c>
    </row>
  </sheetData>
  <phoneticPr fontId="2" type="noConversion"/>
  <conditionalFormatting sqref="E2:E43">
    <cfRule type="cellIs" dxfId="6" priority="1" operator="between">
      <formula>1000</formula>
      <formula>6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43"/>
  <sheetViews>
    <sheetView topLeftCell="A13" workbookViewId="0">
      <selection activeCell="D44" sqref="D44"/>
    </sheetView>
  </sheetViews>
  <sheetFormatPr defaultRowHeight="15.75" x14ac:dyDescent="0.25"/>
  <cols>
    <col min="1" max="1" width="12" bestFit="1" customWidth="1"/>
    <col min="2" max="2" width="10.5703125" bestFit="1" customWidth="1"/>
    <col min="3" max="3" width="15.5703125" bestFit="1" customWidth="1"/>
    <col min="4" max="5" width="13" bestFit="1" customWidth="1"/>
    <col min="6" max="6" width="27.140625" bestFit="1" customWidth="1"/>
    <col min="8" max="8" width="5.42578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205</v>
      </c>
      <c r="E1" s="1" t="s">
        <v>206</v>
      </c>
      <c r="F1" s="1" t="s">
        <v>230</v>
      </c>
      <c r="G1" s="1" t="s">
        <v>231</v>
      </c>
      <c r="H1" s="1" t="s">
        <v>209</v>
      </c>
    </row>
    <row r="2" spans="1:8" x14ac:dyDescent="0.25">
      <c r="A2" t="s">
        <v>123</v>
      </c>
      <c r="B2">
        <v>28</v>
      </c>
      <c r="C2">
        <v>34.390907287597663</v>
      </c>
      <c r="D2">
        <f>ABS(C2-B2)</f>
        <v>6.3909072875976634</v>
      </c>
      <c r="E2">
        <f>IF(COUNTIF($H:$H,H2)=2,ABS(C2-_xlfn.XLOOKUP(H2,$H:$H,$C:$C,"",0,-1)),"")</f>
        <v>0.21396636962891336</v>
      </c>
      <c r="F2">
        <v>2</v>
      </c>
      <c r="G2">
        <v>3</v>
      </c>
      <c r="H2">
        <v>113</v>
      </c>
    </row>
    <row r="3" spans="1:8" x14ac:dyDescent="0.25">
      <c r="A3" t="s">
        <v>124</v>
      </c>
      <c r="B3">
        <v>28</v>
      </c>
      <c r="C3">
        <v>34.17694091796875</v>
      </c>
      <c r="D3">
        <f t="shared" ref="D3:D43" si="0">ABS(C3-B3)</f>
        <v>6.17694091796875</v>
      </c>
      <c r="E3">
        <f t="shared" ref="E3:E43" si="1">IF(COUNTIF($H:$H,H3)=2,ABS(C3-_xlfn.XLOOKUP(H3,$H:$H,$C:$C,"",0,-1)),"")</f>
        <v>0</v>
      </c>
      <c r="F3">
        <v>2</v>
      </c>
      <c r="G3">
        <v>3</v>
      </c>
      <c r="H3">
        <v>113</v>
      </c>
    </row>
    <row r="4" spans="1:8" x14ac:dyDescent="0.25">
      <c r="A4" t="s">
        <v>125</v>
      </c>
      <c r="B4">
        <v>30</v>
      </c>
      <c r="C4">
        <v>32.621135711669922</v>
      </c>
      <c r="D4">
        <f t="shared" si="0"/>
        <v>2.6211357116699219</v>
      </c>
      <c r="E4">
        <f t="shared" si="1"/>
        <v>0.30043029785155539</v>
      </c>
      <c r="F4">
        <v>1</v>
      </c>
      <c r="G4">
        <v>3</v>
      </c>
      <c r="H4">
        <v>127</v>
      </c>
    </row>
    <row r="5" spans="1:8" x14ac:dyDescent="0.25">
      <c r="A5" t="s">
        <v>126</v>
      </c>
      <c r="B5">
        <v>30</v>
      </c>
      <c r="C5">
        <v>32.921566009521477</v>
      </c>
      <c r="D5">
        <f t="shared" si="0"/>
        <v>2.9215660095214773</v>
      </c>
      <c r="E5">
        <f t="shared" si="1"/>
        <v>0</v>
      </c>
      <c r="F5">
        <v>1</v>
      </c>
      <c r="G5">
        <v>3</v>
      </c>
      <c r="H5">
        <v>127</v>
      </c>
    </row>
    <row r="6" spans="1:8" x14ac:dyDescent="0.25">
      <c r="A6" t="s">
        <v>127</v>
      </c>
      <c r="B6">
        <v>28</v>
      </c>
      <c r="C6">
        <v>37.894386291503913</v>
      </c>
      <c r="D6">
        <f t="shared" si="0"/>
        <v>9.8943862915039134</v>
      </c>
      <c r="E6">
        <f t="shared" si="1"/>
        <v>0.53379821777344461</v>
      </c>
      <c r="F6">
        <v>1</v>
      </c>
      <c r="G6">
        <v>3</v>
      </c>
      <c r="H6">
        <v>142</v>
      </c>
    </row>
    <row r="7" spans="1:8" x14ac:dyDescent="0.25">
      <c r="A7" t="s">
        <v>128</v>
      </c>
      <c r="B7">
        <v>28</v>
      </c>
      <c r="C7">
        <v>37.360588073730469</v>
      </c>
      <c r="D7">
        <f t="shared" si="0"/>
        <v>9.3605880737304688</v>
      </c>
      <c r="E7">
        <f t="shared" si="1"/>
        <v>0</v>
      </c>
      <c r="F7">
        <v>1</v>
      </c>
      <c r="G7">
        <v>3</v>
      </c>
      <c r="H7">
        <v>142</v>
      </c>
    </row>
    <row r="8" spans="1:8" x14ac:dyDescent="0.25">
      <c r="A8" t="s">
        <v>129</v>
      </c>
      <c r="B8">
        <v>26</v>
      </c>
      <c r="C8">
        <v>30.597621917724609</v>
      </c>
      <c r="D8">
        <f t="shared" si="0"/>
        <v>4.5976219177246094</v>
      </c>
      <c r="E8">
        <f t="shared" si="1"/>
        <v>2.7993640899658203</v>
      </c>
      <c r="F8">
        <v>2</v>
      </c>
      <c r="G8">
        <v>3</v>
      </c>
      <c r="H8">
        <v>239</v>
      </c>
    </row>
    <row r="9" spans="1:8" x14ac:dyDescent="0.25">
      <c r="A9" t="s">
        <v>130</v>
      </c>
      <c r="B9">
        <v>26</v>
      </c>
      <c r="C9">
        <v>27.798257827758789</v>
      </c>
      <c r="D9">
        <f t="shared" si="0"/>
        <v>1.7982578277587891</v>
      </c>
      <c r="E9">
        <f t="shared" si="1"/>
        <v>0</v>
      </c>
      <c r="F9">
        <v>2</v>
      </c>
      <c r="G9">
        <v>3</v>
      </c>
      <c r="H9">
        <v>239</v>
      </c>
    </row>
    <row r="10" spans="1:8" x14ac:dyDescent="0.25">
      <c r="A10" t="s">
        <v>131</v>
      </c>
      <c r="B10">
        <v>22</v>
      </c>
      <c r="C10">
        <v>38.063373565673828</v>
      </c>
      <c r="D10">
        <f t="shared" si="0"/>
        <v>16.063373565673828</v>
      </c>
      <c r="E10">
        <f t="shared" si="1"/>
        <v>0.33077239990235086</v>
      </c>
      <c r="F10">
        <v>2</v>
      </c>
      <c r="G10">
        <v>3</v>
      </c>
      <c r="H10">
        <v>346</v>
      </c>
    </row>
    <row r="11" spans="1:8" x14ac:dyDescent="0.25">
      <c r="A11" t="s">
        <v>132</v>
      </c>
      <c r="B11">
        <v>22</v>
      </c>
      <c r="C11">
        <v>37.732601165771477</v>
      </c>
      <c r="D11">
        <f t="shared" si="0"/>
        <v>15.732601165771477</v>
      </c>
      <c r="E11">
        <f t="shared" si="1"/>
        <v>0</v>
      </c>
      <c r="F11">
        <v>2</v>
      </c>
      <c r="G11">
        <v>3</v>
      </c>
      <c r="H11">
        <v>346</v>
      </c>
    </row>
    <row r="12" spans="1:8" x14ac:dyDescent="0.25">
      <c r="A12" t="s">
        <v>133</v>
      </c>
      <c r="B12">
        <v>26</v>
      </c>
      <c r="C12">
        <v>26.89542388916016</v>
      </c>
      <c r="D12">
        <f t="shared" si="0"/>
        <v>0.8954238891601598</v>
      </c>
      <c r="E12">
        <f t="shared" si="1"/>
        <v>0.80242538452148082</v>
      </c>
      <c r="F12">
        <v>1</v>
      </c>
      <c r="G12">
        <v>3</v>
      </c>
      <c r="H12">
        <v>422</v>
      </c>
    </row>
    <row r="13" spans="1:8" x14ac:dyDescent="0.25">
      <c r="A13" t="s">
        <v>134</v>
      </c>
      <c r="B13">
        <v>26</v>
      </c>
      <c r="C13">
        <v>27.697849273681641</v>
      </c>
      <c r="D13">
        <f t="shared" si="0"/>
        <v>1.6978492736816406</v>
      </c>
      <c r="E13">
        <f t="shared" si="1"/>
        <v>0</v>
      </c>
      <c r="F13">
        <v>1</v>
      </c>
      <c r="G13">
        <v>3</v>
      </c>
      <c r="H13">
        <v>422</v>
      </c>
    </row>
    <row r="14" spans="1:8" x14ac:dyDescent="0.25">
      <c r="A14" t="s">
        <v>135</v>
      </c>
      <c r="B14">
        <v>26</v>
      </c>
      <c r="C14">
        <v>29.952081680297852</v>
      </c>
      <c r="D14">
        <f t="shared" si="0"/>
        <v>3.9520816802978516</v>
      </c>
      <c r="E14">
        <f t="shared" si="1"/>
        <v>1.4781417846679688</v>
      </c>
      <c r="F14">
        <v>1</v>
      </c>
      <c r="G14">
        <v>3</v>
      </c>
      <c r="H14">
        <v>492</v>
      </c>
    </row>
    <row r="15" spans="1:8" x14ac:dyDescent="0.25">
      <c r="A15" t="s">
        <v>136</v>
      </c>
      <c r="B15">
        <v>26</v>
      </c>
      <c r="C15">
        <v>31.43022346496582</v>
      </c>
      <c r="D15">
        <f t="shared" si="0"/>
        <v>5.4302234649658203</v>
      </c>
      <c r="E15">
        <f t="shared" si="1"/>
        <v>0</v>
      </c>
      <c r="F15">
        <v>1</v>
      </c>
      <c r="G15">
        <v>3</v>
      </c>
      <c r="H15">
        <v>492</v>
      </c>
    </row>
    <row r="16" spans="1:8" x14ac:dyDescent="0.25">
      <c r="A16" t="s">
        <v>137</v>
      </c>
      <c r="B16">
        <v>23</v>
      </c>
      <c r="C16">
        <v>52.306011199951172</v>
      </c>
      <c r="D16">
        <f t="shared" si="0"/>
        <v>29.306011199951172</v>
      </c>
      <c r="E16">
        <f t="shared" si="1"/>
        <v>3.2922439575195313</v>
      </c>
      <c r="F16">
        <v>2</v>
      </c>
      <c r="G16">
        <v>3</v>
      </c>
      <c r="H16">
        <v>502</v>
      </c>
    </row>
    <row r="17" spans="1:8" x14ac:dyDescent="0.25">
      <c r="A17" t="s">
        <v>138</v>
      </c>
      <c r="B17">
        <v>23</v>
      </c>
      <c r="C17">
        <v>49.013767242431641</v>
      </c>
      <c r="D17">
        <f t="shared" si="0"/>
        <v>26.013767242431641</v>
      </c>
      <c r="E17">
        <f t="shared" si="1"/>
        <v>0</v>
      </c>
      <c r="F17">
        <v>2</v>
      </c>
      <c r="G17">
        <v>3</v>
      </c>
      <c r="H17">
        <v>502</v>
      </c>
    </row>
    <row r="18" spans="1:8" x14ac:dyDescent="0.25">
      <c r="A18" t="s">
        <v>139</v>
      </c>
      <c r="B18">
        <v>42</v>
      </c>
      <c r="C18">
        <v>49.810314178466797</v>
      </c>
      <c r="D18">
        <f t="shared" si="0"/>
        <v>7.8103141784667969</v>
      </c>
      <c r="E18">
        <f t="shared" si="1"/>
        <v>0.23571014404296875</v>
      </c>
      <c r="F18">
        <v>2</v>
      </c>
      <c r="G18">
        <v>3</v>
      </c>
      <c r="H18">
        <v>505</v>
      </c>
    </row>
    <row r="19" spans="1:8" x14ac:dyDescent="0.25">
      <c r="A19" t="s">
        <v>140</v>
      </c>
      <c r="B19">
        <v>42</v>
      </c>
      <c r="C19">
        <v>49.574604034423828</v>
      </c>
      <c r="D19">
        <f t="shared" si="0"/>
        <v>7.5746040344238281</v>
      </c>
      <c r="E19">
        <f t="shared" si="1"/>
        <v>0</v>
      </c>
      <c r="F19">
        <v>2</v>
      </c>
      <c r="G19">
        <v>3</v>
      </c>
      <c r="H19">
        <v>505</v>
      </c>
    </row>
    <row r="20" spans="1:8" x14ac:dyDescent="0.25">
      <c r="A20" t="s">
        <v>141</v>
      </c>
      <c r="B20">
        <v>32</v>
      </c>
      <c r="C20">
        <v>38.533821105957031</v>
      </c>
      <c r="D20">
        <f t="shared" si="0"/>
        <v>6.5338211059570313</v>
      </c>
      <c r="E20">
        <f t="shared" si="1"/>
        <v>0.72077178955078125</v>
      </c>
      <c r="F20">
        <v>1</v>
      </c>
      <c r="G20">
        <v>3</v>
      </c>
      <c r="H20">
        <v>656</v>
      </c>
    </row>
    <row r="21" spans="1:8" x14ac:dyDescent="0.25">
      <c r="A21" t="s">
        <v>142</v>
      </c>
      <c r="B21">
        <v>32</v>
      </c>
      <c r="C21">
        <v>37.81304931640625</v>
      </c>
      <c r="D21">
        <f t="shared" si="0"/>
        <v>5.81304931640625</v>
      </c>
      <c r="E21">
        <f t="shared" si="1"/>
        <v>0</v>
      </c>
      <c r="F21">
        <v>1</v>
      </c>
      <c r="G21">
        <v>3</v>
      </c>
      <c r="H21">
        <v>656</v>
      </c>
    </row>
    <row r="22" spans="1:8" x14ac:dyDescent="0.25">
      <c r="A22" t="s">
        <v>143</v>
      </c>
      <c r="B22">
        <v>30</v>
      </c>
      <c r="C22">
        <v>28.468448638916019</v>
      </c>
      <c r="D22">
        <f t="shared" si="0"/>
        <v>1.5315513610839808</v>
      </c>
      <c r="E22">
        <f t="shared" si="1"/>
        <v>1.1714706420898509</v>
      </c>
      <c r="F22">
        <v>2</v>
      </c>
      <c r="G22">
        <v>3</v>
      </c>
      <c r="H22">
        <v>679</v>
      </c>
    </row>
    <row r="23" spans="1:8" x14ac:dyDescent="0.25">
      <c r="A23" t="s">
        <v>144</v>
      </c>
      <c r="B23">
        <v>30</v>
      </c>
      <c r="C23">
        <v>27.296977996826168</v>
      </c>
      <c r="D23">
        <f t="shared" si="0"/>
        <v>2.7030220031738317</v>
      </c>
      <c r="E23">
        <f t="shared" si="1"/>
        <v>0</v>
      </c>
      <c r="F23">
        <v>2</v>
      </c>
      <c r="G23">
        <v>3</v>
      </c>
      <c r="H23">
        <v>679</v>
      </c>
    </row>
    <row r="24" spans="1:8" x14ac:dyDescent="0.25">
      <c r="A24" t="s">
        <v>145</v>
      </c>
      <c r="B24">
        <v>49</v>
      </c>
      <c r="C24">
        <v>32.124401092529297</v>
      </c>
      <c r="D24">
        <f t="shared" si="0"/>
        <v>16.875598907470703</v>
      </c>
      <c r="E24">
        <f t="shared" si="1"/>
        <v>0.36140251159667613</v>
      </c>
      <c r="F24">
        <v>2</v>
      </c>
      <c r="G24">
        <v>3</v>
      </c>
      <c r="H24">
        <v>742</v>
      </c>
    </row>
    <row r="25" spans="1:8" x14ac:dyDescent="0.25">
      <c r="A25" t="s">
        <v>146</v>
      </c>
      <c r="B25">
        <v>49</v>
      </c>
      <c r="C25">
        <v>31.762998580932621</v>
      </c>
      <c r="D25">
        <f t="shared" si="0"/>
        <v>17.237001419067379</v>
      </c>
      <c r="E25">
        <f t="shared" si="1"/>
        <v>0</v>
      </c>
      <c r="F25">
        <v>2</v>
      </c>
      <c r="G25">
        <v>3</v>
      </c>
      <c r="H25">
        <v>742</v>
      </c>
    </row>
    <row r="26" spans="1:8" x14ac:dyDescent="0.25">
      <c r="A26" t="s">
        <v>147</v>
      </c>
      <c r="B26">
        <v>29</v>
      </c>
      <c r="C26">
        <v>38.873844146728523</v>
      </c>
      <c r="D26">
        <f t="shared" si="0"/>
        <v>9.8738441467285227</v>
      </c>
      <c r="E26">
        <f t="shared" si="1"/>
        <v>0.46713256835936789</v>
      </c>
      <c r="F26">
        <v>2</v>
      </c>
      <c r="G26">
        <v>3</v>
      </c>
      <c r="H26">
        <v>800</v>
      </c>
    </row>
    <row r="27" spans="1:8" x14ac:dyDescent="0.25">
      <c r="A27" t="s">
        <v>148</v>
      </c>
      <c r="B27">
        <v>29</v>
      </c>
      <c r="C27">
        <v>39.340976715087891</v>
      </c>
      <c r="D27">
        <f t="shared" si="0"/>
        <v>10.340976715087891</v>
      </c>
      <c r="E27">
        <f t="shared" si="1"/>
        <v>0</v>
      </c>
      <c r="F27">
        <v>2</v>
      </c>
      <c r="G27">
        <v>3</v>
      </c>
      <c r="H27">
        <v>800</v>
      </c>
    </row>
    <row r="28" spans="1:8" x14ac:dyDescent="0.25">
      <c r="A28" t="s">
        <v>149</v>
      </c>
      <c r="B28">
        <v>34</v>
      </c>
      <c r="C28">
        <v>36.782020568847663</v>
      </c>
      <c r="D28">
        <f t="shared" si="0"/>
        <v>2.7820205688476634</v>
      </c>
      <c r="E28">
        <f t="shared" si="1"/>
        <v>2.5527954101576711E-2</v>
      </c>
      <c r="F28">
        <v>1</v>
      </c>
      <c r="G28">
        <v>3</v>
      </c>
      <c r="H28">
        <v>814</v>
      </c>
    </row>
    <row r="29" spans="1:8" x14ac:dyDescent="0.25">
      <c r="A29" t="s">
        <v>150</v>
      </c>
      <c r="B29">
        <v>34</v>
      </c>
      <c r="C29">
        <v>36.756492614746087</v>
      </c>
      <c r="D29">
        <f t="shared" si="0"/>
        <v>2.7564926147460866</v>
      </c>
      <c r="E29">
        <f t="shared" si="1"/>
        <v>0</v>
      </c>
      <c r="F29">
        <v>1</v>
      </c>
      <c r="G29">
        <v>3</v>
      </c>
      <c r="H29">
        <v>814</v>
      </c>
    </row>
    <row r="30" spans="1:8" x14ac:dyDescent="0.25">
      <c r="A30" t="s">
        <v>151</v>
      </c>
      <c r="B30">
        <v>38</v>
      </c>
      <c r="C30">
        <v>39.821620941162109</v>
      </c>
      <c r="D30">
        <f t="shared" si="0"/>
        <v>1.8216209411621094</v>
      </c>
      <c r="E30">
        <f t="shared" si="1"/>
        <v>0.24493789672850852</v>
      </c>
      <c r="F30">
        <v>2</v>
      </c>
      <c r="G30">
        <v>3</v>
      </c>
      <c r="H30">
        <v>815</v>
      </c>
    </row>
    <row r="31" spans="1:8" x14ac:dyDescent="0.25">
      <c r="A31" t="s">
        <v>152</v>
      </c>
      <c r="B31">
        <v>38</v>
      </c>
      <c r="C31">
        <v>40.066558837890618</v>
      </c>
      <c r="D31">
        <f t="shared" si="0"/>
        <v>2.0665588378906179</v>
      </c>
      <c r="E31">
        <f t="shared" si="1"/>
        <v>0</v>
      </c>
      <c r="F31">
        <v>2</v>
      </c>
      <c r="G31">
        <v>3</v>
      </c>
      <c r="H31">
        <v>815</v>
      </c>
    </row>
    <row r="32" spans="1:8" x14ac:dyDescent="0.25">
      <c r="A32" t="s">
        <v>153</v>
      </c>
      <c r="B32">
        <v>25</v>
      </c>
      <c r="C32">
        <v>28.4407958984375</v>
      </c>
      <c r="D32">
        <f t="shared" si="0"/>
        <v>3.4407958984375</v>
      </c>
      <c r="E32">
        <f t="shared" si="1"/>
        <v>0.68383216857910156</v>
      </c>
      <c r="F32">
        <v>1</v>
      </c>
      <c r="G32">
        <v>3</v>
      </c>
      <c r="H32">
        <v>849</v>
      </c>
    </row>
    <row r="33" spans="1:8" x14ac:dyDescent="0.25">
      <c r="A33" t="s">
        <v>154</v>
      </c>
      <c r="B33">
        <v>25</v>
      </c>
      <c r="C33">
        <v>29.124628067016602</v>
      </c>
      <c r="D33">
        <f t="shared" si="0"/>
        <v>4.1246280670166016</v>
      </c>
      <c r="E33">
        <f t="shared" si="1"/>
        <v>0</v>
      </c>
      <c r="F33">
        <v>1</v>
      </c>
      <c r="G33">
        <v>3</v>
      </c>
      <c r="H33">
        <v>849</v>
      </c>
    </row>
    <row r="34" spans="1:8" x14ac:dyDescent="0.25">
      <c r="A34" t="s">
        <v>155</v>
      </c>
      <c r="B34">
        <v>25</v>
      </c>
      <c r="C34">
        <v>32.482433319091797</v>
      </c>
      <c r="D34">
        <f t="shared" si="0"/>
        <v>7.4824333190917969</v>
      </c>
      <c r="E34">
        <f t="shared" si="1"/>
        <v>0.36057281494140625</v>
      </c>
      <c r="F34">
        <v>1</v>
      </c>
      <c r="G34">
        <v>3</v>
      </c>
      <c r="H34">
        <v>906</v>
      </c>
    </row>
    <row r="35" spans="1:8" x14ac:dyDescent="0.25">
      <c r="A35" t="s">
        <v>156</v>
      </c>
      <c r="B35">
        <v>25</v>
      </c>
      <c r="C35">
        <v>32.843006134033203</v>
      </c>
      <c r="D35">
        <f t="shared" si="0"/>
        <v>7.8430061340332031</v>
      </c>
      <c r="E35">
        <f t="shared" si="1"/>
        <v>0</v>
      </c>
      <c r="F35">
        <v>1</v>
      </c>
      <c r="G35">
        <v>3</v>
      </c>
      <c r="H35">
        <v>906</v>
      </c>
    </row>
    <row r="36" spans="1:8" x14ac:dyDescent="0.25">
      <c r="A36" t="s">
        <v>157</v>
      </c>
      <c r="B36">
        <v>25</v>
      </c>
      <c r="C36">
        <v>28.933290481567379</v>
      </c>
      <c r="D36">
        <f t="shared" si="0"/>
        <v>3.9332904815673793</v>
      </c>
      <c r="E36">
        <f t="shared" si="1"/>
        <v>1.5273361206054688</v>
      </c>
      <c r="F36">
        <v>1</v>
      </c>
      <c r="G36">
        <v>3</v>
      </c>
      <c r="H36">
        <v>913</v>
      </c>
    </row>
    <row r="37" spans="1:8" x14ac:dyDescent="0.25">
      <c r="A37" t="s">
        <v>158</v>
      </c>
      <c r="B37">
        <v>25</v>
      </c>
      <c r="C37">
        <v>27.405954360961911</v>
      </c>
      <c r="D37">
        <f t="shared" si="0"/>
        <v>2.4059543609619105</v>
      </c>
      <c r="E37">
        <f t="shared" si="1"/>
        <v>0</v>
      </c>
      <c r="F37">
        <v>1</v>
      </c>
      <c r="G37">
        <v>3</v>
      </c>
      <c r="H37">
        <v>913</v>
      </c>
    </row>
    <row r="38" spans="1:8" x14ac:dyDescent="0.25">
      <c r="A38" t="s">
        <v>159</v>
      </c>
      <c r="B38">
        <v>30</v>
      </c>
      <c r="C38">
        <v>35.604217529296882</v>
      </c>
      <c r="D38">
        <f t="shared" si="0"/>
        <v>5.6042175292968821</v>
      </c>
      <c r="E38">
        <f t="shared" si="1"/>
        <v>0.90196990966796875</v>
      </c>
      <c r="F38">
        <v>1</v>
      </c>
      <c r="G38">
        <v>3</v>
      </c>
      <c r="H38">
        <v>916</v>
      </c>
    </row>
    <row r="39" spans="1:8" x14ac:dyDescent="0.25">
      <c r="A39" t="s">
        <v>160</v>
      </c>
      <c r="B39">
        <v>30</v>
      </c>
      <c r="C39">
        <v>34.702247619628913</v>
      </c>
      <c r="D39">
        <f t="shared" si="0"/>
        <v>4.7022476196289134</v>
      </c>
      <c r="E39">
        <f t="shared" si="1"/>
        <v>0</v>
      </c>
      <c r="F39">
        <v>1</v>
      </c>
      <c r="G39">
        <v>3</v>
      </c>
      <c r="H39">
        <v>916</v>
      </c>
    </row>
    <row r="40" spans="1:8" x14ac:dyDescent="0.25">
      <c r="A40" t="s">
        <v>161</v>
      </c>
      <c r="B40">
        <v>61</v>
      </c>
      <c r="C40">
        <v>67.227882385253906</v>
      </c>
      <c r="D40">
        <f t="shared" si="0"/>
        <v>6.2278823852539063</v>
      </c>
      <c r="E40">
        <f t="shared" si="1"/>
        <v>0.1682586669921875</v>
      </c>
      <c r="F40">
        <v>2</v>
      </c>
      <c r="G40">
        <v>3</v>
      </c>
      <c r="H40">
        <v>934</v>
      </c>
    </row>
    <row r="41" spans="1:8" x14ac:dyDescent="0.25">
      <c r="A41" t="s">
        <v>162</v>
      </c>
      <c r="B41">
        <v>61</v>
      </c>
      <c r="C41">
        <v>67.396141052246094</v>
      </c>
      <c r="D41">
        <f t="shared" si="0"/>
        <v>6.3961410522460938</v>
      </c>
      <c r="E41">
        <f t="shared" si="1"/>
        <v>0</v>
      </c>
      <c r="F41">
        <v>2</v>
      </c>
      <c r="G41">
        <v>3</v>
      </c>
      <c r="H41">
        <v>934</v>
      </c>
    </row>
    <row r="42" spans="1:8" x14ac:dyDescent="0.25">
      <c r="A42" t="s">
        <v>163</v>
      </c>
      <c r="B42">
        <v>38</v>
      </c>
      <c r="C42">
        <v>40.228614807128913</v>
      </c>
      <c r="D42">
        <f t="shared" si="0"/>
        <v>2.2286148071289134</v>
      </c>
      <c r="E42">
        <f t="shared" si="1"/>
        <v>0.56145858764649148</v>
      </c>
      <c r="F42">
        <v>1</v>
      </c>
      <c r="G42">
        <v>3</v>
      </c>
      <c r="H42">
        <v>959</v>
      </c>
    </row>
    <row r="43" spans="1:8" x14ac:dyDescent="0.25">
      <c r="A43" t="s">
        <v>164</v>
      </c>
      <c r="B43">
        <v>38</v>
      </c>
      <c r="C43">
        <v>39.667156219482422</v>
      </c>
      <c r="D43">
        <f t="shared" si="0"/>
        <v>1.6671562194824219</v>
      </c>
      <c r="E43">
        <f t="shared" si="1"/>
        <v>0</v>
      </c>
      <c r="F43">
        <v>1</v>
      </c>
      <c r="G43">
        <v>3</v>
      </c>
      <c r="H43">
        <v>959</v>
      </c>
    </row>
  </sheetData>
  <phoneticPr fontId="2" type="noConversion"/>
  <conditionalFormatting sqref="E2:E43">
    <cfRule type="cellIs" dxfId="5" priority="1" operator="between">
      <formula>1000</formula>
      <formula>6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43"/>
  <sheetViews>
    <sheetView topLeftCell="A10" workbookViewId="0">
      <selection activeCell="D44" sqref="D44"/>
    </sheetView>
  </sheetViews>
  <sheetFormatPr defaultRowHeight="15.75" x14ac:dyDescent="0.25"/>
  <cols>
    <col min="1" max="1" width="12" bestFit="1" customWidth="1"/>
    <col min="2" max="2" width="10.5703125" bestFit="1" customWidth="1"/>
    <col min="3" max="3" width="15.5703125" bestFit="1" customWidth="1"/>
    <col min="4" max="5" width="13" bestFit="1" customWidth="1"/>
    <col min="6" max="6" width="27.140625" bestFit="1" customWidth="1"/>
    <col min="8" max="8" width="5.42578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205</v>
      </c>
      <c r="E1" s="1" t="s">
        <v>206</v>
      </c>
      <c r="F1" s="1" t="s">
        <v>230</v>
      </c>
      <c r="G1" s="1" t="s">
        <v>231</v>
      </c>
      <c r="H1" s="1" t="s">
        <v>209</v>
      </c>
    </row>
    <row r="2" spans="1:8" x14ac:dyDescent="0.25">
      <c r="A2" t="s">
        <v>123</v>
      </c>
      <c r="B2">
        <v>28</v>
      </c>
      <c r="C2">
        <v>38.197742462158203</v>
      </c>
      <c r="D2">
        <f>ABS(C2-B2)</f>
        <v>10.197742462158203</v>
      </c>
      <c r="E2">
        <f>IF(COUNTIF($H:$H,H2)=2,ABS(C2-_xlfn.XLOOKUP(H2,$H:$H,$C:$C,"",0,-1)),"")</f>
        <v>2.5909919738769531</v>
      </c>
      <c r="F2">
        <v>2</v>
      </c>
      <c r="G2">
        <v>3</v>
      </c>
      <c r="H2">
        <v>113</v>
      </c>
    </row>
    <row r="3" spans="1:8" x14ac:dyDescent="0.25">
      <c r="A3" t="s">
        <v>124</v>
      </c>
      <c r="B3">
        <v>28</v>
      </c>
      <c r="C3">
        <v>35.60675048828125</v>
      </c>
      <c r="D3">
        <f t="shared" ref="D3:D43" si="0">ABS(C3-B3)</f>
        <v>7.60675048828125</v>
      </c>
      <c r="E3">
        <f t="shared" ref="E3:E43" si="1">IF(COUNTIF($H:$H,H3)=2,ABS(C3-_xlfn.XLOOKUP(H3,$H:$H,$C:$C,"",0,-1)),"")</f>
        <v>0</v>
      </c>
      <c r="F3">
        <v>2</v>
      </c>
      <c r="G3">
        <v>3</v>
      </c>
      <c r="H3">
        <v>113</v>
      </c>
    </row>
    <row r="4" spans="1:8" x14ac:dyDescent="0.25">
      <c r="A4" t="s">
        <v>125</v>
      </c>
      <c r="B4">
        <v>30</v>
      </c>
      <c r="C4">
        <v>31.35612678527832</v>
      </c>
      <c r="D4">
        <f t="shared" si="0"/>
        <v>1.3561267852783203</v>
      </c>
      <c r="E4">
        <f t="shared" si="1"/>
        <v>0.23670196533203125</v>
      </c>
      <c r="F4">
        <v>1</v>
      </c>
      <c r="G4">
        <v>3</v>
      </c>
      <c r="H4">
        <v>127</v>
      </c>
    </row>
    <row r="5" spans="1:8" x14ac:dyDescent="0.25">
      <c r="A5" t="s">
        <v>126</v>
      </c>
      <c r="B5">
        <v>30</v>
      </c>
      <c r="C5">
        <v>31.592828750610352</v>
      </c>
      <c r="D5">
        <f t="shared" si="0"/>
        <v>1.5928287506103516</v>
      </c>
      <c r="E5">
        <f t="shared" si="1"/>
        <v>0</v>
      </c>
      <c r="F5">
        <v>1</v>
      </c>
      <c r="G5">
        <v>3</v>
      </c>
      <c r="H5">
        <v>127</v>
      </c>
    </row>
    <row r="6" spans="1:8" x14ac:dyDescent="0.25">
      <c r="A6" t="s">
        <v>127</v>
      </c>
      <c r="B6">
        <v>28</v>
      </c>
      <c r="C6">
        <v>36.684413909912109</v>
      </c>
      <c r="D6">
        <f t="shared" si="0"/>
        <v>8.6844139099121094</v>
      </c>
      <c r="E6">
        <f t="shared" si="1"/>
        <v>2.4211883544921875E-2</v>
      </c>
      <c r="F6">
        <v>1</v>
      </c>
      <c r="G6">
        <v>3</v>
      </c>
      <c r="H6">
        <v>142</v>
      </c>
    </row>
    <row r="7" spans="1:8" x14ac:dyDescent="0.25">
      <c r="A7" t="s">
        <v>128</v>
      </c>
      <c r="B7">
        <v>28</v>
      </c>
      <c r="C7">
        <v>36.708625793457031</v>
      </c>
      <c r="D7">
        <f t="shared" si="0"/>
        <v>8.7086257934570313</v>
      </c>
      <c r="E7">
        <f t="shared" si="1"/>
        <v>0</v>
      </c>
      <c r="F7">
        <v>1</v>
      </c>
      <c r="G7">
        <v>3</v>
      </c>
      <c r="H7">
        <v>142</v>
      </c>
    </row>
    <row r="8" spans="1:8" x14ac:dyDescent="0.25">
      <c r="A8" t="s">
        <v>129</v>
      </c>
      <c r="B8">
        <v>26</v>
      </c>
      <c r="C8">
        <v>31.329526901245121</v>
      </c>
      <c r="D8">
        <f t="shared" si="0"/>
        <v>5.3295269012451207</v>
      </c>
      <c r="E8">
        <f t="shared" si="1"/>
        <v>0.1503219604492223</v>
      </c>
      <c r="F8">
        <v>2</v>
      </c>
      <c r="G8">
        <v>3</v>
      </c>
      <c r="H8">
        <v>239</v>
      </c>
    </row>
    <row r="9" spans="1:8" x14ac:dyDescent="0.25">
      <c r="A9" t="s">
        <v>130</v>
      </c>
      <c r="B9">
        <v>26</v>
      </c>
      <c r="C9">
        <v>31.179204940795898</v>
      </c>
      <c r="D9">
        <f t="shared" si="0"/>
        <v>5.1792049407958984</v>
      </c>
      <c r="E9">
        <f t="shared" si="1"/>
        <v>0</v>
      </c>
      <c r="F9">
        <v>2</v>
      </c>
      <c r="G9">
        <v>3</v>
      </c>
      <c r="H9">
        <v>239</v>
      </c>
    </row>
    <row r="10" spans="1:8" x14ac:dyDescent="0.25">
      <c r="A10" t="s">
        <v>131</v>
      </c>
      <c r="B10">
        <v>22</v>
      </c>
      <c r="C10">
        <v>34.898124694824219</v>
      </c>
      <c r="D10">
        <f t="shared" si="0"/>
        <v>12.898124694824219</v>
      </c>
      <c r="E10">
        <f t="shared" si="1"/>
        <v>0.14014053344726563</v>
      </c>
      <c r="F10">
        <v>2</v>
      </c>
      <c r="G10">
        <v>3</v>
      </c>
      <c r="H10">
        <v>346</v>
      </c>
    </row>
    <row r="11" spans="1:8" x14ac:dyDescent="0.25">
      <c r="A11" t="s">
        <v>132</v>
      </c>
      <c r="B11">
        <v>22</v>
      </c>
      <c r="C11">
        <v>34.757984161376953</v>
      </c>
      <c r="D11">
        <f t="shared" si="0"/>
        <v>12.757984161376953</v>
      </c>
      <c r="E11">
        <f t="shared" si="1"/>
        <v>0</v>
      </c>
      <c r="F11">
        <v>2</v>
      </c>
      <c r="G11">
        <v>3</v>
      </c>
      <c r="H11">
        <v>346</v>
      </c>
    </row>
    <row r="12" spans="1:8" x14ac:dyDescent="0.25">
      <c r="A12" t="s">
        <v>133</v>
      </c>
      <c r="B12">
        <v>26</v>
      </c>
      <c r="C12">
        <v>30.1697998046875</v>
      </c>
      <c r="D12">
        <f t="shared" si="0"/>
        <v>4.1697998046875</v>
      </c>
      <c r="E12">
        <f t="shared" si="1"/>
        <v>0.34956932067871094</v>
      </c>
      <c r="F12">
        <v>1</v>
      </c>
      <c r="G12">
        <v>3</v>
      </c>
      <c r="H12">
        <v>422</v>
      </c>
    </row>
    <row r="13" spans="1:8" x14ac:dyDescent="0.25">
      <c r="A13" t="s">
        <v>134</v>
      </c>
      <c r="B13">
        <v>26</v>
      </c>
      <c r="C13">
        <v>29.820230484008789</v>
      </c>
      <c r="D13">
        <f t="shared" si="0"/>
        <v>3.8202304840087891</v>
      </c>
      <c r="E13">
        <f t="shared" si="1"/>
        <v>0</v>
      </c>
      <c r="F13">
        <v>1</v>
      </c>
      <c r="G13">
        <v>3</v>
      </c>
      <c r="H13">
        <v>422</v>
      </c>
    </row>
    <row r="14" spans="1:8" x14ac:dyDescent="0.25">
      <c r="A14" t="s">
        <v>135</v>
      </c>
      <c r="B14">
        <v>26</v>
      </c>
      <c r="C14">
        <v>34.623828887939453</v>
      </c>
      <c r="D14">
        <f t="shared" si="0"/>
        <v>8.6238288879394531</v>
      </c>
      <c r="E14">
        <f t="shared" si="1"/>
        <v>1.5666923522949219</v>
      </c>
      <c r="F14">
        <v>1</v>
      </c>
      <c r="G14">
        <v>3</v>
      </c>
      <c r="H14">
        <v>492</v>
      </c>
    </row>
    <row r="15" spans="1:8" x14ac:dyDescent="0.25">
      <c r="A15" t="s">
        <v>136</v>
      </c>
      <c r="B15">
        <v>26</v>
      </c>
      <c r="C15">
        <v>33.057136535644531</v>
      </c>
      <c r="D15">
        <f t="shared" si="0"/>
        <v>7.0571365356445313</v>
      </c>
      <c r="E15">
        <f t="shared" si="1"/>
        <v>0</v>
      </c>
      <c r="F15">
        <v>1</v>
      </c>
      <c r="G15">
        <v>3</v>
      </c>
      <c r="H15">
        <v>492</v>
      </c>
    </row>
    <row r="16" spans="1:8" x14ac:dyDescent="0.25">
      <c r="A16" t="s">
        <v>137</v>
      </c>
      <c r="B16">
        <v>23</v>
      </c>
      <c r="C16">
        <v>42.687801361083977</v>
      </c>
      <c r="D16">
        <f t="shared" si="0"/>
        <v>19.687801361083977</v>
      </c>
      <c r="E16">
        <f t="shared" si="1"/>
        <v>1.4140090942382741</v>
      </c>
      <c r="F16">
        <v>2</v>
      </c>
      <c r="G16">
        <v>3</v>
      </c>
      <c r="H16">
        <v>502</v>
      </c>
    </row>
    <row r="17" spans="1:8" x14ac:dyDescent="0.25">
      <c r="A17" t="s">
        <v>138</v>
      </c>
      <c r="B17">
        <v>23</v>
      </c>
      <c r="C17">
        <v>41.273792266845703</v>
      </c>
      <c r="D17">
        <f t="shared" si="0"/>
        <v>18.273792266845703</v>
      </c>
      <c r="E17">
        <f t="shared" si="1"/>
        <v>0</v>
      </c>
      <c r="F17">
        <v>2</v>
      </c>
      <c r="G17">
        <v>3</v>
      </c>
      <c r="H17">
        <v>502</v>
      </c>
    </row>
    <row r="18" spans="1:8" x14ac:dyDescent="0.25">
      <c r="A18" t="s">
        <v>139</v>
      </c>
      <c r="B18">
        <v>42</v>
      </c>
      <c r="C18">
        <v>44.769302368164063</v>
      </c>
      <c r="D18">
        <f t="shared" si="0"/>
        <v>2.7693023681640625</v>
      </c>
      <c r="E18">
        <f t="shared" si="1"/>
        <v>1.0972824096679759</v>
      </c>
      <c r="F18">
        <v>2</v>
      </c>
      <c r="G18">
        <v>3</v>
      </c>
      <c r="H18">
        <v>505</v>
      </c>
    </row>
    <row r="19" spans="1:8" x14ac:dyDescent="0.25">
      <c r="A19" t="s">
        <v>140</v>
      </c>
      <c r="B19">
        <v>42</v>
      </c>
      <c r="C19">
        <v>43.672019958496087</v>
      </c>
      <c r="D19">
        <f t="shared" si="0"/>
        <v>1.6720199584960866</v>
      </c>
      <c r="E19">
        <f t="shared" si="1"/>
        <v>0</v>
      </c>
      <c r="F19">
        <v>2</v>
      </c>
      <c r="G19">
        <v>3</v>
      </c>
      <c r="H19">
        <v>505</v>
      </c>
    </row>
    <row r="20" spans="1:8" x14ac:dyDescent="0.25">
      <c r="A20" t="s">
        <v>141</v>
      </c>
      <c r="B20">
        <v>32</v>
      </c>
      <c r="C20">
        <v>36.138401031494141</v>
      </c>
      <c r="D20">
        <f t="shared" si="0"/>
        <v>4.1384010314941406</v>
      </c>
      <c r="E20">
        <f t="shared" si="1"/>
        <v>0.70885467529296875</v>
      </c>
      <c r="F20">
        <v>1</v>
      </c>
      <c r="G20">
        <v>3</v>
      </c>
      <c r="H20">
        <v>656</v>
      </c>
    </row>
    <row r="21" spans="1:8" x14ac:dyDescent="0.25">
      <c r="A21" t="s">
        <v>142</v>
      </c>
      <c r="B21">
        <v>32</v>
      </c>
      <c r="C21">
        <v>36.847255706787109</v>
      </c>
      <c r="D21">
        <f t="shared" si="0"/>
        <v>4.8472557067871094</v>
      </c>
      <c r="E21">
        <f t="shared" si="1"/>
        <v>0</v>
      </c>
      <c r="F21">
        <v>1</v>
      </c>
      <c r="G21">
        <v>3</v>
      </c>
      <c r="H21">
        <v>656</v>
      </c>
    </row>
    <row r="22" spans="1:8" x14ac:dyDescent="0.25">
      <c r="A22" t="s">
        <v>143</v>
      </c>
      <c r="B22">
        <v>30</v>
      </c>
      <c r="C22">
        <v>32.551979064941413</v>
      </c>
      <c r="D22">
        <f t="shared" si="0"/>
        <v>2.5519790649414134</v>
      </c>
      <c r="E22">
        <f t="shared" si="1"/>
        <v>0.91319656372069602</v>
      </c>
      <c r="F22">
        <v>2</v>
      </c>
      <c r="G22">
        <v>3</v>
      </c>
      <c r="H22">
        <v>679</v>
      </c>
    </row>
    <row r="23" spans="1:8" x14ac:dyDescent="0.25">
      <c r="A23" t="s">
        <v>144</v>
      </c>
      <c r="B23">
        <v>30</v>
      </c>
      <c r="C23">
        <v>33.465175628662109</v>
      </c>
      <c r="D23">
        <f t="shared" si="0"/>
        <v>3.4651756286621094</v>
      </c>
      <c r="E23">
        <f t="shared" si="1"/>
        <v>0</v>
      </c>
      <c r="F23">
        <v>2</v>
      </c>
      <c r="G23">
        <v>3</v>
      </c>
      <c r="H23">
        <v>679</v>
      </c>
    </row>
    <row r="24" spans="1:8" x14ac:dyDescent="0.25">
      <c r="A24" t="s">
        <v>145</v>
      </c>
      <c r="B24">
        <v>49</v>
      </c>
      <c r="C24">
        <v>32.369766235351563</v>
      </c>
      <c r="D24">
        <f t="shared" si="0"/>
        <v>16.630233764648438</v>
      </c>
      <c r="E24">
        <f t="shared" si="1"/>
        <v>0.889404296875</v>
      </c>
      <c r="F24">
        <v>2</v>
      </c>
      <c r="G24">
        <v>3</v>
      </c>
      <c r="H24">
        <v>742</v>
      </c>
    </row>
    <row r="25" spans="1:8" x14ac:dyDescent="0.25">
      <c r="A25" t="s">
        <v>146</v>
      </c>
      <c r="B25">
        <v>49</v>
      </c>
      <c r="C25">
        <v>33.259170532226563</v>
      </c>
      <c r="D25">
        <f t="shared" si="0"/>
        <v>15.740829467773438</v>
      </c>
      <c r="E25">
        <f t="shared" si="1"/>
        <v>0</v>
      </c>
      <c r="F25">
        <v>2</v>
      </c>
      <c r="G25">
        <v>3</v>
      </c>
      <c r="H25">
        <v>742</v>
      </c>
    </row>
    <row r="26" spans="1:8" x14ac:dyDescent="0.25">
      <c r="A26" t="s">
        <v>147</v>
      </c>
      <c r="B26">
        <v>29</v>
      </c>
      <c r="C26">
        <v>36.424079895019531</v>
      </c>
      <c r="D26">
        <f t="shared" si="0"/>
        <v>7.4240798950195313</v>
      </c>
      <c r="E26">
        <f t="shared" si="1"/>
        <v>0.66268920898438211</v>
      </c>
      <c r="F26">
        <v>2</v>
      </c>
      <c r="G26">
        <v>3</v>
      </c>
      <c r="H26">
        <v>800</v>
      </c>
    </row>
    <row r="27" spans="1:8" x14ac:dyDescent="0.25">
      <c r="A27" t="s">
        <v>148</v>
      </c>
      <c r="B27">
        <v>29</v>
      </c>
      <c r="C27">
        <v>37.086769104003913</v>
      </c>
      <c r="D27">
        <f t="shared" si="0"/>
        <v>8.0867691040039134</v>
      </c>
      <c r="E27">
        <f t="shared" si="1"/>
        <v>0</v>
      </c>
      <c r="F27">
        <v>2</v>
      </c>
      <c r="G27">
        <v>3</v>
      </c>
      <c r="H27">
        <v>800</v>
      </c>
    </row>
    <row r="28" spans="1:8" x14ac:dyDescent="0.25">
      <c r="A28" t="s">
        <v>149</v>
      </c>
      <c r="B28">
        <v>34</v>
      </c>
      <c r="C28">
        <v>37.904987335205078</v>
      </c>
      <c r="D28">
        <f t="shared" si="0"/>
        <v>3.9049873352050781</v>
      </c>
      <c r="E28">
        <f t="shared" si="1"/>
        <v>0.11703109741210938</v>
      </c>
      <c r="F28">
        <v>1</v>
      </c>
      <c r="G28">
        <v>3</v>
      </c>
      <c r="H28">
        <v>814</v>
      </c>
    </row>
    <row r="29" spans="1:8" x14ac:dyDescent="0.25">
      <c r="A29" t="s">
        <v>150</v>
      </c>
      <c r="B29">
        <v>34</v>
      </c>
      <c r="C29">
        <v>37.787956237792969</v>
      </c>
      <c r="D29">
        <f t="shared" si="0"/>
        <v>3.7879562377929688</v>
      </c>
      <c r="E29">
        <f t="shared" si="1"/>
        <v>0</v>
      </c>
      <c r="F29">
        <v>1</v>
      </c>
      <c r="G29">
        <v>3</v>
      </c>
      <c r="H29">
        <v>814</v>
      </c>
    </row>
    <row r="30" spans="1:8" x14ac:dyDescent="0.25">
      <c r="A30" t="s">
        <v>151</v>
      </c>
      <c r="B30">
        <v>38</v>
      </c>
      <c r="C30">
        <v>35.809249877929688</v>
      </c>
      <c r="D30">
        <f t="shared" si="0"/>
        <v>2.1907501220703125</v>
      </c>
      <c r="E30">
        <f t="shared" si="1"/>
        <v>7.6450347900390625E-2</v>
      </c>
      <c r="F30">
        <v>2</v>
      </c>
      <c r="G30">
        <v>3</v>
      </c>
      <c r="H30">
        <v>815</v>
      </c>
    </row>
    <row r="31" spans="1:8" x14ac:dyDescent="0.25">
      <c r="A31" t="s">
        <v>152</v>
      </c>
      <c r="B31">
        <v>38</v>
      </c>
      <c r="C31">
        <v>35.885700225830078</v>
      </c>
      <c r="D31">
        <f t="shared" si="0"/>
        <v>2.1142997741699219</v>
      </c>
      <c r="E31">
        <f t="shared" si="1"/>
        <v>0</v>
      </c>
      <c r="F31">
        <v>2</v>
      </c>
      <c r="G31">
        <v>3</v>
      </c>
      <c r="H31">
        <v>815</v>
      </c>
    </row>
    <row r="32" spans="1:8" x14ac:dyDescent="0.25">
      <c r="A32" t="s">
        <v>153</v>
      </c>
      <c r="B32">
        <v>25</v>
      </c>
      <c r="C32">
        <v>29.746931076049801</v>
      </c>
      <c r="D32">
        <f t="shared" si="0"/>
        <v>4.7469310760498011</v>
      </c>
      <c r="E32">
        <f t="shared" si="1"/>
        <v>0.69862747192382813</v>
      </c>
      <c r="F32">
        <v>1</v>
      </c>
      <c r="G32">
        <v>3</v>
      </c>
      <c r="H32">
        <v>849</v>
      </c>
    </row>
    <row r="33" spans="1:8" x14ac:dyDescent="0.25">
      <c r="A33" t="s">
        <v>154</v>
      </c>
      <c r="B33">
        <v>25</v>
      </c>
      <c r="C33">
        <v>30.445558547973629</v>
      </c>
      <c r="D33">
        <f t="shared" si="0"/>
        <v>5.4455585479736293</v>
      </c>
      <c r="E33">
        <f t="shared" si="1"/>
        <v>0</v>
      </c>
      <c r="F33">
        <v>1</v>
      </c>
      <c r="G33">
        <v>3</v>
      </c>
      <c r="H33">
        <v>849</v>
      </c>
    </row>
    <row r="34" spans="1:8" x14ac:dyDescent="0.25">
      <c r="A34" t="s">
        <v>155</v>
      </c>
      <c r="B34">
        <v>25</v>
      </c>
      <c r="C34">
        <v>31.991334915161129</v>
      </c>
      <c r="D34">
        <f t="shared" si="0"/>
        <v>6.9913349151611293</v>
      </c>
      <c r="E34">
        <f t="shared" si="1"/>
        <v>0.59048271179198863</v>
      </c>
      <c r="F34">
        <v>1</v>
      </c>
      <c r="G34">
        <v>3</v>
      </c>
      <c r="H34">
        <v>906</v>
      </c>
    </row>
    <row r="35" spans="1:8" x14ac:dyDescent="0.25">
      <c r="A35" t="s">
        <v>156</v>
      </c>
      <c r="B35">
        <v>25</v>
      </c>
      <c r="C35">
        <v>32.581817626953118</v>
      </c>
      <c r="D35">
        <f t="shared" si="0"/>
        <v>7.5818176269531179</v>
      </c>
      <c r="E35">
        <f t="shared" si="1"/>
        <v>0</v>
      </c>
      <c r="F35">
        <v>1</v>
      </c>
      <c r="G35">
        <v>3</v>
      </c>
      <c r="H35">
        <v>906</v>
      </c>
    </row>
    <row r="36" spans="1:8" x14ac:dyDescent="0.25">
      <c r="A36" t="s">
        <v>157</v>
      </c>
      <c r="B36">
        <v>25</v>
      </c>
      <c r="C36">
        <v>34.420352935791023</v>
      </c>
      <c r="D36">
        <f t="shared" si="0"/>
        <v>9.4203529357910227</v>
      </c>
      <c r="E36">
        <f t="shared" si="1"/>
        <v>0.22249984741209516</v>
      </c>
      <c r="F36">
        <v>1</v>
      </c>
      <c r="G36">
        <v>3</v>
      </c>
      <c r="H36">
        <v>913</v>
      </c>
    </row>
    <row r="37" spans="1:8" x14ac:dyDescent="0.25">
      <c r="A37" t="s">
        <v>158</v>
      </c>
      <c r="B37">
        <v>25</v>
      </c>
      <c r="C37">
        <v>34.642852783203118</v>
      </c>
      <c r="D37">
        <f t="shared" si="0"/>
        <v>9.6428527832031179</v>
      </c>
      <c r="E37">
        <f t="shared" si="1"/>
        <v>0</v>
      </c>
      <c r="F37">
        <v>1</v>
      </c>
      <c r="G37">
        <v>3</v>
      </c>
      <c r="H37">
        <v>913</v>
      </c>
    </row>
    <row r="38" spans="1:8" x14ac:dyDescent="0.25">
      <c r="A38" t="s">
        <v>159</v>
      </c>
      <c r="B38">
        <v>30</v>
      </c>
      <c r="C38">
        <v>33.733871459960938</v>
      </c>
      <c r="D38">
        <f t="shared" si="0"/>
        <v>3.7338714599609375</v>
      </c>
      <c r="E38">
        <f t="shared" si="1"/>
        <v>0.17385101318359375</v>
      </c>
      <c r="F38">
        <v>1</v>
      </c>
      <c r="G38">
        <v>3</v>
      </c>
      <c r="H38">
        <v>916</v>
      </c>
    </row>
    <row r="39" spans="1:8" x14ac:dyDescent="0.25">
      <c r="A39" t="s">
        <v>160</v>
      </c>
      <c r="B39">
        <v>30</v>
      </c>
      <c r="C39">
        <v>33.907722473144531</v>
      </c>
      <c r="D39">
        <f t="shared" si="0"/>
        <v>3.9077224731445313</v>
      </c>
      <c r="E39">
        <f t="shared" si="1"/>
        <v>0</v>
      </c>
      <c r="F39">
        <v>1</v>
      </c>
      <c r="G39">
        <v>3</v>
      </c>
      <c r="H39">
        <v>916</v>
      </c>
    </row>
    <row r="40" spans="1:8" x14ac:dyDescent="0.25">
      <c r="A40" t="s">
        <v>161</v>
      </c>
      <c r="B40">
        <v>61</v>
      </c>
      <c r="C40">
        <v>53.977729797363281</v>
      </c>
      <c r="D40">
        <f t="shared" si="0"/>
        <v>7.0222702026367188</v>
      </c>
      <c r="E40">
        <f t="shared" si="1"/>
        <v>4.3369865417480469</v>
      </c>
      <c r="F40">
        <v>2</v>
      </c>
      <c r="G40">
        <v>3</v>
      </c>
      <c r="H40">
        <v>934</v>
      </c>
    </row>
    <row r="41" spans="1:8" x14ac:dyDescent="0.25">
      <c r="A41" t="s">
        <v>162</v>
      </c>
      <c r="B41">
        <v>61</v>
      </c>
      <c r="C41">
        <v>58.314716339111328</v>
      </c>
      <c r="D41">
        <f t="shared" si="0"/>
        <v>2.6852836608886719</v>
      </c>
      <c r="E41">
        <f t="shared" si="1"/>
        <v>0</v>
      </c>
      <c r="F41">
        <v>2</v>
      </c>
      <c r="G41">
        <v>3</v>
      </c>
      <c r="H41">
        <v>934</v>
      </c>
    </row>
    <row r="42" spans="1:8" x14ac:dyDescent="0.25">
      <c r="A42" t="s">
        <v>163</v>
      </c>
      <c r="B42">
        <v>38</v>
      </c>
      <c r="C42">
        <v>34.634944915771477</v>
      </c>
      <c r="D42">
        <f t="shared" si="0"/>
        <v>3.3650550842285227</v>
      </c>
      <c r="E42">
        <f t="shared" si="1"/>
        <v>1.4845085144042898</v>
      </c>
      <c r="F42">
        <v>1</v>
      </c>
      <c r="G42">
        <v>3</v>
      </c>
      <c r="H42">
        <v>959</v>
      </c>
    </row>
    <row r="43" spans="1:8" x14ac:dyDescent="0.25">
      <c r="A43" t="s">
        <v>164</v>
      </c>
      <c r="B43">
        <v>38</v>
      </c>
      <c r="C43">
        <v>33.150436401367188</v>
      </c>
      <c r="D43">
        <f t="shared" si="0"/>
        <v>4.8495635986328125</v>
      </c>
      <c r="E43">
        <f t="shared" si="1"/>
        <v>0</v>
      </c>
      <c r="F43">
        <v>1</v>
      </c>
      <c r="G43">
        <v>3</v>
      </c>
      <c r="H43">
        <v>959</v>
      </c>
    </row>
  </sheetData>
  <phoneticPr fontId="2" type="noConversion"/>
  <conditionalFormatting sqref="E2:E43">
    <cfRule type="cellIs" dxfId="4" priority="1" operator="between">
      <formula>1000</formula>
      <formula>6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41"/>
  <sheetViews>
    <sheetView topLeftCell="A13" workbookViewId="0">
      <selection activeCell="D42" sqref="D42"/>
    </sheetView>
  </sheetViews>
  <sheetFormatPr defaultRowHeight="15.75" x14ac:dyDescent="0.25"/>
  <cols>
    <col min="1" max="1" width="17.7109375" bestFit="1" customWidth="1"/>
    <col min="2" max="2" width="10.5703125" bestFit="1" customWidth="1"/>
    <col min="3" max="3" width="15.5703125" bestFit="1" customWidth="1"/>
    <col min="4" max="5" width="13" bestFit="1" customWidth="1"/>
    <col min="6" max="6" width="27.140625" bestFit="1" customWidth="1"/>
    <col min="8" max="8" width="11.855468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205</v>
      </c>
      <c r="E1" s="1" t="s">
        <v>206</v>
      </c>
      <c r="F1" s="1" t="s">
        <v>207</v>
      </c>
      <c r="G1" s="1" t="s">
        <v>208</v>
      </c>
      <c r="H1" s="1" t="s">
        <v>209</v>
      </c>
    </row>
    <row r="2" spans="1:8" x14ac:dyDescent="0.25">
      <c r="A2" t="s">
        <v>165</v>
      </c>
      <c r="B2">
        <v>20</v>
      </c>
      <c r="C2">
        <v>28.708086013793949</v>
      </c>
      <c r="D2">
        <f>ABS(C2-B2)</f>
        <v>8.7080860137939489</v>
      </c>
      <c r="E2">
        <f>IF(RIGHT(A2,3)="MR1",ABS(C2-_xlfn.XLOOKUP(SUBSTITUTE(A2,"_MR1","_MR2"),$A:$A,$C:$C)),"")</f>
        <v>3.6649799346923793</v>
      </c>
      <c r="F2">
        <v>2</v>
      </c>
      <c r="G2" s="2">
        <v>1.5</v>
      </c>
      <c r="H2" t="s">
        <v>210</v>
      </c>
    </row>
    <row r="3" spans="1:8" x14ac:dyDescent="0.25">
      <c r="A3" t="s">
        <v>166</v>
      </c>
      <c r="B3">
        <v>20</v>
      </c>
      <c r="C3">
        <v>32.373065948486328</v>
      </c>
      <c r="D3">
        <f t="shared" ref="D3:D41" si="0">ABS(C3-B3)</f>
        <v>12.373065948486328</v>
      </c>
      <c r="E3" t="str">
        <f t="shared" ref="E3:E41" si="1">IF(RIGHT(A3,3)="MR1",ABS(C3-_xlfn.XLOOKUP(SUBSTITUTE(A3,"_MR1","_MR2"),$A:$A,$C:$C)),"")</f>
        <v/>
      </c>
      <c r="F3">
        <v>2</v>
      </c>
      <c r="G3" s="2">
        <v>1.5</v>
      </c>
      <c r="H3" t="s">
        <v>210</v>
      </c>
    </row>
    <row r="4" spans="1:8" x14ac:dyDescent="0.25">
      <c r="A4" t="s">
        <v>167</v>
      </c>
      <c r="B4">
        <v>25</v>
      </c>
      <c r="C4">
        <v>28.052511215209961</v>
      </c>
      <c r="D4">
        <f t="shared" si="0"/>
        <v>3.0525112152099609</v>
      </c>
      <c r="E4">
        <f t="shared" si="1"/>
        <v>0.40609169006348012</v>
      </c>
      <c r="F4">
        <v>2</v>
      </c>
      <c r="G4" s="2">
        <v>1.5</v>
      </c>
      <c r="H4" t="s">
        <v>211</v>
      </c>
    </row>
    <row r="5" spans="1:8" x14ac:dyDescent="0.25">
      <c r="A5" t="s">
        <v>168</v>
      </c>
      <c r="B5">
        <v>25</v>
      </c>
      <c r="C5">
        <v>28.458602905273441</v>
      </c>
      <c r="D5">
        <f t="shared" si="0"/>
        <v>3.4586029052734411</v>
      </c>
      <c r="E5" t="str">
        <f t="shared" si="1"/>
        <v/>
      </c>
      <c r="F5">
        <v>2</v>
      </c>
      <c r="G5" s="2">
        <v>1.5</v>
      </c>
      <c r="H5" t="s">
        <v>211</v>
      </c>
    </row>
    <row r="6" spans="1:8" x14ac:dyDescent="0.25">
      <c r="A6" t="s">
        <v>169</v>
      </c>
      <c r="B6">
        <v>22</v>
      </c>
      <c r="C6">
        <v>27.486345291137699</v>
      </c>
      <c r="D6">
        <f t="shared" si="0"/>
        <v>5.4863452911376989</v>
      </c>
      <c r="E6">
        <f t="shared" si="1"/>
        <v>0.24895095825194957</v>
      </c>
      <c r="F6">
        <v>1</v>
      </c>
      <c r="G6" s="2">
        <v>1.5</v>
      </c>
      <c r="H6" t="s">
        <v>212</v>
      </c>
    </row>
    <row r="7" spans="1:8" x14ac:dyDescent="0.25">
      <c r="A7" t="s">
        <v>170</v>
      </c>
      <c r="B7">
        <v>22</v>
      </c>
      <c r="C7">
        <v>27.735296249389648</v>
      </c>
      <c r="D7">
        <f t="shared" si="0"/>
        <v>5.7352962493896484</v>
      </c>
      <c r="E7" t="str">
        <f t="shared" si="1"/>
        <v/>
      </c>
      <c r="F7">
        <v>1</v>
      </c>
      <c r="G7" s="2">
        <v>1.5</v>
      </c>
      <c r="H7" t="s">
        <v>212</v>
      </c>
    </row>
    <row r="8" spans="1:8" x14ac:dyDescent="0.25">
      <c r="A8" t="s">
        <v>171</v>
      </c>
      <c r="B8">
        <v>29</v>
      </c>
      <c r="C8">
        <v>31.421865463256839</v>
      </c>
      <c r="D8">
        <f t="shared" si="0"/>
        <v>2.4218654632568395</v>
      </c>
      <c r="E8">
        <f t="shared" si="1"/>
        <v>6.2339496612548793</v>
      </c>
      <c r="F8">
        <v>1</v>
      </c>
      <c r="G8" s="2">
        <v>1.5</v>
      </c>
      <c r="H8" t="s">
        <v>213</v>
      </c>
    </row>
    <row r="9" spans="1:8" x14ac:dyDescent="0.25">
      <c r="A9" t="s">
        <v>172</v>
      </c>
      <c r="B9">
        <v>29</v>
      </c>
      <c r="C9">
        <v>37.655815124511719</v>
      </c>
      <c r="D9">
        <f t="shared" si="0"/>
        <v>8.6558151245117188</v>
      </c>
      <c r="E9" t="str">
        <f t="shared" si="1"/>
        <v/>
      </c>
      <c r="F9">
        <v>1</v>
      </c>
      <c r="G9" s="2">
        <v>1.5</v>
      </c>
      <c r="H9" t="s">
        <v>213</v>
      </c>
    </row>
    <row r="10" spans="1:8" x14ac:dyDescent="0.25">
      <c r="A10" t="s">
        <v>173</v>
      </c>
      <c r="B10">
        <v>23</v>
      </c>
      <c r="C10">
        <v>29.013236999511719</v>
      </c>
      <c r="D10">
        <f t="shared" si="0"/>
        <v>6.0132369995117188</v>
      </c>
      <c r="E10">
        <f t="shared" si="1"/>
        <v>0.24229621887207031</v>
      </c>
      <c r="F10">
        <v>1</v>
      </c>
      <c r="G10" s="2">
        <v>1.5</v>
      </c>
      <c r="H10" t="s">
        <v>214</v>
      </c>
    </row>
    <row r="11" spans="1:8" x14ac:dyDescent="0.25">
      <c r="A11" t="s">
        <v>174</v>
      </c>
      <c r="B11">
        <v>23</v>
      </c>
      <c r="C11">
        <v>29.255533218383789</v>
      </c>
      <c r="D11">
        <f t="shared" si="0"/>
        <v>6.2555332183837891</v>
      </c>
      <c r="E11" t="str">
        <f t="shared" si="1"/>
        <v/>
      </c>
      <c r="F11">
        <v>1</v>
      </c>
      <c r="G11" s="2">
        <v>1.5</v>
      </c>
      <c r="H11" t="s">
        <v>214</v>
      </c>
    </row>
    <row r="12" spans="1:8" x14ac:dyDescent="0.25">
      <c r="A12" t="s">
        <v>175</v>
      </c>
      <c r="B12">
        <v>25</v>
      </c>
      <c r="C12">
        <v>28.581289291381839</v>
      </c>
      <c r="D12">
        <f t="shared" si="0"/>
        <v>3.5812892913818395</v>
      </c>
      <c r="E12">
        <f t="shared" si="1"/>
        <v>0.29493331909180043</v>
      </c>
      <c r="F12">
        <v>1</v>
      </c>
      <c r="G12" s="2">
        <v>1.5</v>
      </c>
      <c r="H12" t="s">
        <v>215</v>
      </c>
    </row>
    <row r="13" spans="1:8" x14ac:dyDescent="0.25">
      <c r="A13" t="s">
        <v>176</v>
      </c>
      <c r="B13">
        <v>25</v>
      </c>
      <c r="C13">
        <v>28.286355972290039</v>
      </c>
      <c r="D13">
        <f t="shared" si="0"/>
        <v>3.2863559722900391</v>
      </c>
      <c r="E13" t="str">
        <f t="shared" si="1"/>
        <v/>
      </c>
      <c r="F13">
        <v>1</v>
      </c>
      <c r="G13" s="2">
        <v>1.5</v>
      </c>
      <c r="H13" t="s">
        <v>215</v>
      </c>
    </row>
    <row r="14" spans="1:8" x14ac:dyDescent="0.25">
      <c r="A14" t="s">
        <v>177</v>
      </c>
      <c r="B14">
        <v>34</v>
      </c>
      <c r="C14">
        <v>45.576927185058587</v>
      </c>
      <c r="D14">
        <f t="shared" si="0"/>
        <v>11.576927185058587</v>
      </c>
      <c r="E14">
        <f t="shared" si="1"/>
        <v>0.94974517822266336</v>
      </c>
      <c r="F14">
        <v>1</v>
      </c>
      <c r="G14" s="2">
        <v>1.5</v>
      </c>
      <c r="H14" t="s">
        <v>216</v>
      </c>
    </row>
    <row r="15" spans="1:8" x14ac:dyDescent="0.25">
      <c r="A15" t="s">
        <v>178</v>
      </c>
      <c r="B15">
        <v>34</v>
      </c>
      <c r="C15">
        <v>46.52667236328125</v>
      </c>
      <c r="D15">
        <f t="shared" si="0"/>
        <v>12.52667236328125</v>
      </c>
      <c r="E15" t="str">
        <f t="shared" si="1"/>
        <v/>
      </c>
      <c r="F15">
        <v>1</v>
      </c>
      <c r="G15" s="2">
        <v>1.5</v>
      </c>
      <c r="H15" t="s">
        <v>216</v>
      </c>
    </row>
    <row r="16" spans="1:8" x14ac:dyDescent="0.25">
      <c r="A16" t="s">
        <v>179</v>
      </c>
      <c r="B16">
        <v>20</v>
      </c>
      <c r="C16">
        <v>27.519979476928711</v>
      </c>
      <c r="D16">
        <f t="shared" si="0"/>
        <v>7.5199794769287109</v>
      </c>
      <c r="E16">
        <f t="shared" si="1"/>
        <v>7.9082489013668322E-2</v>
      </c>
      <c r="F16">
        <v>2</v>
      </c>
      <c r="G16" s="2">
        <v>1.5</v>
      </c>
      <c r="H16" t="s">
        <v>217</v>
      </c>
    </row>
    <row r="17" spans="1:8" x14ac:dyDescent="0.25">
      <c r="A17" t="s">
        <v>180</v>
      </c>
      <c r="B17">
        <v>20</v>
      </c>
      <c r="C17">
        <v>27.599061965942379</v>
      </c>
      <c r="D17">
        <f t="shared" si="0"/>
        <v>7.5990619659423793</v>
      </c>
      <c r="E17" t="str">
        <f t="shared" si="1"/>
        <v/>
      </c>
      <c r="F17">
        <v>2</v>
      </c>
      <c r="G17" s="2">
        <v>1.5</v>
      </c>
      <c r="H17" t="s">
        <v>217</v>
      </c>
    </row>
    <row r="18" spans="1:8" x14ac:dyDescent="0.25">
      <c r="A18" t="s">
        <v>181</v>
      </c>
      <c r="B18">
        <v>20</v>
      </c>
      <c r="C18">
        <v>28.513351440429691</v>
      </c>
      <c r="D18">
        <f t="shared" si="0"/>
        <v>8.5133514404296911</v>
      </c>
      <c r="E18">
        <f t="shared" si="1"/>
        <v>0.83011245727539063</v>
      </c>
      <c r="F18">
        <v>2</v>
      </c>
      <c r="G18" s="2">
        <v>1.5</v>
      </c>
      <c r="H18" t="s">
        <v>218</v>
      </c>
    </row>
    <row r="19" spans="1:8" x14ac:dyDescent="0.25">
      <c r="A19" t="s">
        <v>182</v>
      </c>
      <c r="B19">
        <v>20</v>
      </c>
      <c r="C19">
        <v>29.343463897705082</v>
      </c>
      <c r="D19">
        <f t="shared" si="0"/>
        <v>9.3434638977050817</v>
      </c>
      <c r="E19" t="str">
        <f t="shared" si="1"/>
        <v/>
      </c>
      <c r="F19">
        <v>2</v>
      </c>
      <c r="G19" s="2">
        <v>1.5</v>
      </c>
      <c r="H19" t="s">
        <v>218</v>
      </c>
    </row>
    <row r="20" spans="1:8" x14ac:dyDescent="0.25">
      <c r="A20" t="s">
        <v>183</v>
      </c>
      <c r="B20">
        <v>21</v>
      </c>
      <c r="C20">
        <v>27.933498382568359</v>
      </c>
      <c r="D20">
        <f t="shared" si="0"/>
        <v>6.9334983825683594</v>
      </c>
      <c r="E20">
        <f t="shared" si="1"/>
        <v>0.35159873962401988</v>
      </c>
      <c r="F20">
        <v>2</v>
      </c>
      <c r="G20" s="2">
        <v>1.5</v>
      </c>
      <c r="H20" t="s">
        <v>219</v>
      </c>
    </row>
    <row r="21" spans="1:8" x14ac:dyDescent="0.25">
      <c r="A21" t="s">
        <v>184</v>
      </c>
      <c r="B21">
        <v>21</v>
      </c>
      <c r="C21">
        <v>28.285097122192379</v>
      </c>
      <c r="D21">
        <f t="shared" si="0"/>
        <v>7.2850971221923793</v>
      </c>
      <c r="E21" t="str">
        <f t="shared" si="1"/>
        <v/>
      </c>
      <c r="F21">
        <v>2</v>
      </c>
      <c r="G21" s="2">
        <v>1.5</v>
      </c>
      <c r="H21" t="s">
        <v>219</v>
      </c>
    </row>
    <row r="22" spans="1:8" x14ac:dyDescent="0.25">
      <c r="A22" t="s">
        <v>185</v>
      </c>
      <c r="B22">
        <v>23</v>
      </c>
      <c r="C22">
        <v>29.774484634399411</v>
      </c>
      <c r="D22">
        <f t="shared" si="0"/>
        <v>6.7744846343994105</v>
      </c>
      <c r="E22">
        <f t="shared" si="1"/>
        <v>1.0366058349609304</v>
      </c>
      <c r="F22">
        <v>2</v>
      </c>
      <c r="G22" s="2">
        <v>1.5</v>
      </c>
      <c r="H22" t="s">
        <v>220</v>
      </c>
    </row>
    <row r="23" spans="1:8" x14ac:dyDescent="0.25">
      <c r="A23" t="s">
        <v>186</v>
      </c>
      <c r="B23">
        <v>23</v>
      </c>
      <c r="C23">
        <v>28.73787879943848</v>
      </c>
      <c r="D23">
        <f t="shared" si="0"/>
        <v>5.7378787994384801</v>
      </c>
      <c r="E23" t="str">
        <f t="shared" si="1"/>
        <v/>
      </c>
      <c r="F23">
        <v>2</v>
      </c>
      <c r="G23" s="2">
        <v>1.5</v>
      </c>
      <c r="H23" t="s">
        <v>220</v>
      </c>
    </row>
    <row r="24" spans="1:8" x14ac:dyDescent="0.25">
      <c r="A24" t="s">
        <v>187</v>
      </c>
      <c r="B24">
        <v>19</v>
      </c>
      <c r="C24">
        <v>29.235799789428711</v>
      </c>
      <c r="D24">
        <f t="shared" si="0"/>
        <v>10.235799789428711</v>
      </c>
      <c r="E24">
        <f t="shared" si="1"/>
        <v>1.6012763977050781</v>
      </c>
      <c r="F24">
        <v>2</v>
      </c>
      <c r="G24" s="2">
        <v>1.5</v>
      </c>
      <c r="H24" t="s">
        <v>221</v>
      </c>
    </row>
    <row r="25" spans="1:8" x14ac:dyDescent="0.25">
      <c r="A25" t="s">
        <v>188</v>
      </c>
      <c r="B25">
        <v>19</v>
      </c>
      <c r="C25">
        <v>30.837076187133789</v>
      </c>
      <c r="D25">
        <f t="shared" si="0"/>
        <v>11.837076187133789</v>
      </c>
      <c r="E25" t="str">
        <f t="shared" si="1"/>
        <v/>
      </c>
      <c r="F25">
        <v>2</v>
      </c>
      <c r="G25" s="2">
        <v>1.5</v>
      </c>
      <c r="H25" t="s">
        <v>221</v>
      </c>
    </row>
    <row r="26" spans="1:8" x14ac:dyDescent="0.25">
      <c r="A26" t="s">
        <v>189</v>
      </c>
      <c r="B26">
        <v>20</v>
      </c>
      <c r="C26">
        <v>27.933122634887699</v>
      </c>
      <c r="D26">
        <f t="shared" si="0"/>
        <v>7.9331226348876989</v>
      </c>
      <c r="E26">
        <f t="shared" si="1"/>
        <v>0.52640151977539773</v>
      </c>
      <c r="F26">
        <v>2</v>
      </c>
      <c r="G26" s="2">
        <v>1.5</v>
      </c>
      <c r="H26" t="s">
        <v>222</v>
      </c>
    </row>
    <row r="27" spans="1:8" x14ac:dyDescent="0.25">
      <c r="A27" t="s">
        <v>190</v>
      </c>
      <c r="B27">
        <v>20</v>
      </c>
      <c r="C27">
        <v>27.406721115112301</v>
      </c>
      <c r="D27">
        <f t="shared" si="0"/>
        <v>7.4067211151123011</v>
      </c>
      <c r="E27" t="str">
        <f t="shared" si="1"/>
        <v/>
      </c>
      <c r="F27">
        <v>2</v>
      </c>
      <c r="G27" s="2">
        <v>1.5</v>
      </c>
      <c r="H27" t="s">
        <v>222</v>
      </c>
    </row>
    <row r="28" spans="1:8" x14ac:dyDescent="0.25">
      <c r="A28" t="s">
        <v>191</v>
      </c>
      <c r="B28">
        <v>29</v>
      </c>
      <c r="C28">
        <v>30.8242301940918</v>
      </c>
      <c r="D28">
        <f t="shared" si="0"/>
        <v>1.8242301940918004</v>
      </c>
      <c r="E28">
        <f t="shared" si="1"/>
        <v>1.6096115112304723</v>
      </c>
      <c r="F28">
        <v>2</v>
      </c>
      <c r="G28" s="2">
        <v>1.5</v>
      </c>
      <c r="H28" t="s">
        <v>223</v>
      </c>
    </row>
    <row r="29" spans="1:8" x14ac:dyDescent="0.25">
      <c r="A29" t="s">
        <v>192</v>
      </c>
      <c r="B29">
        <v>29</v>
      </c>
      <c r="C29">
        <v>32.433841705322273</v>
      </c>
      <c r="D29">
        <f t="shared" si="0"/>
        <v>3.4338417053222727</v>
      </c>
      <c r="E29" t="str">
        <f t="shared" si="1"/>
        <v/>
      </c>
      <c r="F29">
        <v>2</v>
      </c>
      <c r="G29" s="2">
        <v>1.5</v>
      </c>
      <c r="H29" t="s">
        <v>223</v>
      </c>
    </row>
    <row r="30" spans="1:8" x14ac:dyDescent="0.25">
      <c r="A30" t="s">
        <v>193</v>
      </c>
      <c r="B30">
        <v>28</v>
      </c>
      <c r="C30">
        <v>29.146909713745121</v>
      </c>
      <c r="D30">
        <f t="shared" si="0"/>
        <v>1.1469097137451207</v>
      </c>
      <c r="E30">
        <f t="shared" si="1"/>
        <v>0.66248703002928977</v>
      </c>
      <c r="F30">
        <v>2</v>
      </c>
      <c r="G30" s="2">
        <v>1.5</v>
      </c>
      <c r="H30" t="s">
        <v>224</v>
      </c>
    </row>
    <row r="31" spans="1:8" x14ac:dyDescent="0.25">
      <c r="A31" t="s">
        <v>194</v>
      </c>
      <c r="B31">
        <v>28</v>
      </c>
      <c r="C31">
        <v>29.809396743774411</v>
      </c>
      <c r="D31">
        <f t="shared" si="0"/>
        <v>1.8093967437744105</v>
      </c>
      <c r="E31" t="str">
        <f t="shared" si="1"/>
        <v/>
      </c>
      <c r="F31">
        <v>2</v>
      </c>
      <c r="G31" s="2">
        <v>1.5</v>
      </c>
      <c r="H31" t="s">
        <v>224</v>
      </c>
    </row>
    <row r="32" spans="1:8" x14ac:dyDescent="0.25">
      <c r="A32" t="s">
        <v>195</v>
      </c>
      <c r="B32">
        <v>20</v>
      </c>
      <c r="C32">
        <v>26.114431381225589</v>
      </c>
      <c r="D32">
        <f t="shared" si="0"/>
        <v>6.1144313812255895</v>
      </c>
      <c r="E32">
        <f t="shared" si="1"/>
        <v>0.32619857788085938</v>
      </c>
      <c r="F32">
        <v>1</v>
      </c>
      <c r="G32" s="2">
        <v>1.5</v>
      </c>
      <c r="H32" t="s">
        <v>225</v>
      </c>
    </row>
    <row r="33" spans="1:8" x14ac:dyDescent="0.25">
      <c r="A33" t="s">
        <v>196</v>
      </c>
      <c r="B33">
        <v>20</v>
      </c>
      <c r="C33">
        <v>25.78823280334473</v>
      </c>
      <c r="D33">
        <f t="shared" si="0"/>
        <v>5.7882328033447301</v>
      </c>
      <c r="E33" t="str">
        <f t="shared" si="1"/>
        <v/>
      </c>
      <c r="F33">
        <v>1</v>
      </c>
      <c r="G33" s="2">
        <v>1.5</v>
      </c>
      <c r="H33" t="s">
        <v>225</v>
      </c>
    </row>
    <row r="34" spans="1:8" x14ac:dyDescent="0.25">
      <c r="A34" t="s">
        <v>197</v>
      </c>
      <c r="B34">
        <v>22</v>
      </c>
      <c r="C34">
        <v>40.056812286376953</v>
      </c>
      <c r="D34">
        <f t="shared" si="0"/>
        <v>18.056812286376953</v>
      </c>
      <c r="E34">
        <f t="shared" si="1"/>
        <v>3.9772109985351563</v>
      </c>
      <c r="F34">
        <v>1</v>
      </c>
      <c r="G34" s="2">
        <v>1.5</v>
      </c>
      <c r="H34" t="s">
        <v>226</v>
      </c>
    </row>
    <row r="35" spans="1:8" x14ac:dyDescent="0.25">
      <c r="A35" t="s">
        <v>198</v>
      </c>
      <c r="B35">
        <v>22</v>
      </c>
      <c r="C35">
        <v>36.079601287841797</v>
      </c>
      <c r="D35">
        <f t="shared" si="0"/>
        <v>14.079601287841797</v>
      </c>
      <c r="E35" t="str">
        <f t="shared" si="1"/>
        <v/>
      </c>
      <c r="F35">
        <v>1</v>
      </c>
      <c r="G35" s="2">
        <v>1.5</v>
      </c>
      <c r="H35" t="s">
        <v>226</v>
      </c>
    </row>
    <row r="36" spans="1:8" x14ac:dyDescent="0.25">
      <c r="A36" t="s">
        <v>199</v>
      </c>
      <c r="B36">
        <v>22</v>
      </c>
      <c r="C36">
        <v>28.069414138793949</v>
      </c>
      <c r="D36">
        <f t="shared" si="0"/>
        <v>6.0694141387939489</v>
      </c>
      <c r="E36">
        <f t="shared" si="1"/>
        <v>0.65341758728028054</v>
      </c>
      <c r="F36">
        <v>1</v>
      </c>
      <c r="G36" s="2">
        <v>1.5</v>
      </c>
      <c r="H36" t="s">
        <v>227</v>
      </c>
    </row>
    <row r="37" spans="1:8" x14ac:dyDescent="0.25">
      <c r="A37" t="s">
        <v>200</v>
      </c>
      <c r="B37">
        <v>22</v>
      </c>
      <c r="C37">
        <v>27.415996551513668</v>
      </c>
      <c r="D37">
        <f t="shared" si="0"/>
        <v>5.4159965515136683</v>
      </c>
      <c r="E37" t="str">
        <f t="shared" si="1"/>
        <v/>
      </c>
      <c r="F37">
        <v>1</v>
      </c>
      <c r="G37" s="2">
        <v>1.5</v>
      </c>
      <c r="H37" t="s">
        <v>227</v>
      </c>
    </row>
    <row r="38" spans="1:8" x14ac:dyDescent="0.25">
      <c r="A38" t="s">
        <v>201</v>
      </c>
      <c r="B38">
        <v>20</v>
      </c>
      <c r="C38">
        <v>28.179147720336911</v>
      </c>
      <c r="D38">
        <f t="shared" si="0"/>
        <v>8.1791477203369105</v>
      </c>
      <c r="E38">
        <f t="shared" si="1"/>
        <v>0.53706169128417969</v>
      </c>
      <c r="F38">
        <v>2</v>
      </c>
      <c r="G38" s="2">
        <v>1.5</v>
      </c>
      <c r="H38" t="s">
        <v>228</v>
      </c>
    </row>
    <row r="39" spans="1:8" x14ac:dyDescent="0.25">
      <c r="A39" t="s">
        <v>202</v>
      </c>
      <c r="B39">
        <v>20</v>
      </c>
      <c r="C39">
        <v>27.642086029052731</v>
      </c>
      <c r="D39">
        <f t="shared" si="0"/>
        <v>7.6420860290527308</v>
      </c>
      <c r="E39" t="str">
        <f t="shared" si="1"/>
        <v/>
      </c>
      <c r="F39">
        <v>2</v>
      </c>
      <c r="G39" s="2">
        <v>1.5</v>
      </c>
      <c r="H39" t="s">
        <v>228</v>
      </c>
    </row>
    <row r="40" spans="1:8" x14ac:dyDescent="0.25">
      <c r="A40" t="s">
        <v>203</v>
      </c>
      <c r="B40">
        <v>26</v>
      </c>
      <c r="C40">
        <v>33.247486114501953</v>
      </c>
      <c r="D40">
        <f>ABS(C40-B40)</f>
        <v>7.2474861145019531</v>
      </c>
      <c r="E40">
        <f t="shared" si="1"/>
        <v>1.9543323516845739</v>
      </c>
      <c r="F40">
        <v>2</v>
      </c>
      <c r="G40" s="2">
        <v>1.5</v>
      </c>
      <c r="H40" t="s">
        <v>229</v>
      </c>
    </row>
    <row r="41" spans="1:8" x14ac:dyDescent="0.25">
      <c r="A41" t="s">
        <v>204</v>
      </c>
      <c r="B41">
        <v>26</v>
      </c>
      <c r="C41">
        <v>31.293153762817379</v>
      </c>
      <c r="D41">
        <f t="shared" si="0"/>
        <v>5.2931537628173793</v>
      </c>
      <c r="E41" t="str">
        <f t="shared" si="1"/>
        <v/>
      </c>
      <c r="F41">
        <v>2</v>
      </c>
      <c r="G41" s="2">
        <v>1.5</v>
      </c>
      <c r="H41" t="s">
        <v>229</v>
      </c>
    </row>
  </sheetData>
  <phoneticPr fontId="2" type="noConversion"/>
  <conditionalFormatting sqref="E2:E41">
    <cfRule type="cellIs" dxfId="3" priority="1" operator="between">
      <formula>1000</formula>
      <formula>6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41"/>
  <sheetViews>
    <sheetView topLeftCell="A13" workbookViewId="0">
      <selection activeCell="D42" sqref="D42"/>
    </sheetView>
  </sheetViews>
  <sheetFormatPr defaultRowHeight="15.75" x14ac:dyDescent="0.25"/>
  <cols>
    <col min="1" max="1" width="17.7109375" bestFit="1" customWidth="1"/>
    <col min="2" max="2" width="10.5703125" bestFit="1" customWidth="1"/>
    <col min="3" max="3" width="15.5703125" bestFit="1" customWidth="1"/>
    <col min="4" max="5" width="13" bestFit="1" customWidth="1"/>
    <col min="6" max="6" width="27.140625" bestFit="1" customWidth="1"/>
    <col min="8" max="8" width="11.855468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205</v>
      </c>
      <c r="E1" s="1" t="s">
        <v>206</v>
      </c>
      <c r="F1" s="1" t="s">
        <v>207</v>
      </c>
      <c r="G1" s="1" t="s">
        <v>208</v>
      </c>
      <c r="H1" s="1" t="s">
        <v>209</v>
      </c>
    </row>
    <row r="2" spans="1:8" x14ac:dyDescent="0.25">
      <c r="A2" t="s">
        <v>165</v>
      </c>
      <c r="B2">
        <v>20</v>
      </c>
      <c r="C2">
        <v>23.580173492431641</v>
      </c>
      <c r="D2">
        <f>ABS(C2-B2)</f>
        <v>3.5801734924316406</v>
      </c>
      <c r="E2">
        <f>IF(RIGHT(A2,3)="MR1",ABS(C2-_xlfn.XLOOKUP(SUBSTITUTE(A2,"_MR1","_MR2"),$A:$A,$C:$C)),"")</f>
        <v>0.42204284667969105</v>
      </c>
      <c r="F2">
        <v>2</v>
      </c>
      <c r="G2" s="2">
        <v>1.5</v>
      </c>
      <c r="H2" t="s">
        <v>210</v>
      </c>
    </row>
    <row r="3" spans="1:8" x14ac:dyDescent="0.25">
      <c r="A3" t="s">
        <v>166</v>
      </c>
      <c r="B3">
        <v>20</v>
      </c>
      <c r="C3">
        <v>23.15813064575195</v>
      </c>
      <c r="D3">
        <f t="shared" ref="D3:D39" si="0">ABS(C3-B3)</f>
        <v>3.1581306457519496</v>
      </c>
      <c r="E3" t="str">
        <f t="shared" ref="E3:E41" si="1">IF(RIGHT(A3,3)="MR1",ABS(C3-_xlfn.XLOOKUP(SUBSTITUTE(A3,"_MR1","_MR2"),$A:$A,$C:$C)),"")</f>
        <v/>
      </c>
      <c r="F3">
        <v>2</v>
      </c>
      <c r="G3" s="2">
        <v>1.5</v>
      </c>
      <c r="H3" t="s">
        <v>210</v>
      </c>
    </row>
    <row r="4" spans="1:8" x14ac:dyDescent="0.25">
      <c r="A4" t="s">
        <v>167</v>
      </c>
      <c r="B4">
        <v>25</v>
      </c>
      <c r="C4">
        <v>26.18374061584473</v>
      </c>
      <c r="D4">
        <f t="shared" si="0"/>
        <v>1.1837406158447301</v>
      </c>
      <c r="E4">
        <f t="shared" si="1"/>
        <v>1.0318126678466797</v>
      </c>
      <c r="F4">
        <v>2</v>
      </c>
      <c r="G4" s="2">
        <v>1.5</v>
      </c>
      <c r="H4" t="s">
        <v>211</v>
      </c>
    </row>
    <row r="5" spans="1:8" x14ac:dyDescent="0.25">
      <c r="A5" t="s">
        <v>168</v>
      </c>
      <c r="B5">
        <v>25</v>
      </c>
      <c r="C5">
        <v>27.21555328369141</v>
      </c>
      <c r="D5">
        <f t="shared" si="0"/>
        <v>2.2155532836914098</v>
      </c>
      <c r="E5" t="str">
        <f t="shared" si="1"/>
        <v/>
      </c>
      <c r="F5">
        <v>2</v>
      </c>
      <c r="G5" s="2">
        <v>1.5</v>
      </c>
      <c r="H5" t="s">
        <v>211</v>
      </c>
    </row>
    <row r="6" spans="1:8" x14ac:dyDescent="0.25">
      <c r="A6" t="s">
        <v>169</v>
      </c>
      <c r="B6">
        <v>22</v>
      </c>
      <c r="C6">
        <v>26.804916381835941</v>
      </c>
      <c r="D6">
        <f t="shared" si="0"/>
        <v>4.8049163818359411</v>
      </c>
      <c r="E6">
        <f t="shared" si="1"/>
        <v>0.26939773559571023</v>
      </c>
      <c r="F6">
        <v>1</v>
      </c>
      <c r="G6" s="2">
        <v>1.5</v>
      </c>
      <c r="H6" t="s">
        <v>212</v>
      </c>
    </row>
    <row r="7" spans="1:8" x14ac:dyDescent="0.25">
      <c r="A7" t="s">
        <v>170</v>
      </c>
      <c r="B7">
        <v>22</v>
      </c>
      <c r="C7">
        <v>26.535518646240231</v>
      </c>
      <c r="D7">
        <f t="shared" si="0"/>
        <v>4.5355186462402308</v>
      </c>
      <c r="E7" t="str">
        <f t="shared" si="1"/>
        <v/>
      </c>
      <c r="F7">
        <v>1</v>
      </c>
      <c r="G7" s="2">
        <v>1.5</v>
      </c>
      <c r="H7" t="s">
        <v>212</v>
      </c>
    </row>
    <row r="8" spans="1:8" x14ac:dyDescent="0.25">
      <c r="A8" t="s">
        <v>171</v>
      </c>
      <c r="B8">
        <v>29</v>
      </c>
      <c r="C8">
        <v>29.36916351318359</v>
      </c>
      <c r="D8">
        <f t="shared" si="0"/>
        <v>0.3691635131835902</v>
      </c>
      <c r="E8">
        <f t="shared" si="1"/>
        <v>0.88521385192871094</v>
      </c>
      <c r="F8">
        <v>1</v>
      </c>
      <c r="G8" s="2">
        <v>1.5</v>
      </c>
      <c r="H8" t="s">
        <v>213</v>
      </c>
    </row>
    <row r="9" spans="1:8" x14ac:dyDescent="0.25">
      <c r="A9" t="s">
        <v>172</v>
      </c>
      <c r="B9">
        <v>29</v>
      </c>
      <c r="C9">
        <v>30.254377365112301</v>
      </c>
      <c r="D9">
        <f t="shared" si="0"/>
        <v>1.2543773651123011</v>
      </c>
      <c r="E9" t="str">
        <f t="shared" si="1"/>
        <v/>
      </c>
      <c r="F9">
        <v>1</v>
      </c>
      <c r="G9" s="2">
        <v>1.5</v>
      </c>
      <c r="H9" t="s">
        <v>213</v>
      </c>
    </row>
    <row r="10" spans="1:8" x14ac:dyDescent="0.25">
      <c r="A10" t="s">
        <v>173</v>
      </c>
      <c r="B10">
        <v>23</v>
      </c>
      <c r="C10">
        <v>27.105255126953121</v>
      </c>
      <c r="D10">
        <f t="shared" si="0"/>
        <v>4.1052551269531214</v>
      </c>
      <c r="E10">
        <f t="shared" si="1"/>
        <v>0.63932609558105113</v>
      </c>
      <c r="F10">
        <v>1</v>
      </c>
      <c r="G10" s="2">
        <v>1.5</v>
      </c>
      <c r="H10" t="s">
        <v>214</v>
      </c>
    </row>
    <row r="11" spans="1:8" x14ac:dyDescent="0.25">
      <c r="A11" t="s">
        <v>174</v>
      </c>
      <c r="B11">
        <v>23</v>
      </c>
      <c r="C11">
        <v>26.46592903137207</v>
      </c>
      <c r="D11">
        <f t="shared" si="0"/>
        <v>3.4659290313720703</v>
      </c>
      <c r="E11" t="str">
        <f t="shared" si="1"/>
        <v/>
      </c>
      <c r="F11">
        <v>1</v>
      </c>
      <c r="G11" s="2">
        <v>1.5</v>
      </c>
      <c r="H11" t="s">
        <v>214</v>
      </c>
    </row>
    <row r="12" spans="1:8" x14ac:dyDescent="0.25">
      <c r="A12" t="s">
        <v>175</v>
      </c>
      <c r="B12">
        <v>25</v>
      </c>
      <c r="C12">
        <v>29.111869812011719</v>
      </c>
      <c r="D12">
        <f t="shared" si="0"/>
        <v>4.1118698120117188</v>
      </c>
      <c r="E12">
        <f t="shared" si="1"/>
        <v>1.6713409423828089</v>
      </c>
      <c r="F12">
        <v>1</v>
      </c>
      <c r="G12" s="2">
        <v>1.5</v>
      </c>
      <c r="H12" t="s">
        <v>215</v>
      </c>
    </row>
    <row r="13" spans="1:8" x14ac:dyDescent="0.25">
      <c r="A13" t="s">
        <v>176</v>
      </c>
      <c r="B13">
        <v>25</v>
      </c>
      <c r="C13">
        <v>27.44052886962891</v>
      </c>
      <c r="D13">
        <f t="shared" si="0"/>
        <v>2.4405288696289098</v>
      </c>
      <c r="E13" t="str">
        <f t="shared" si="1"/>
        <v/>
      </c>
      <c r="F13">
        <v>1</v>
      </c>
      <c r="G13" s="2">
        <v>1.5</v>
      </c>
      <c r="H13" t="s">
        <v>215</v>
      </c>
    </row>
    <row r="14" spans="1:8" x14ac:dyDescent="0.25">
      <c r="A14" t="s">
        <v>177</v>
      </c>
      <c r="B14">
        <v>34</v>
      </c>
      <c r="C14">
        <v>38.583045959472663</v>
      </c>
      <c r="D14">
        <f t="shared" si="0"/>
        <v>4.5830459594726634</v>
      </c>
      <c r="E14">
        <f t="shared" si="1"/>
        <v>1.5237159729003906</v>
      </c>
      <c r="F14">
        <v>1</v>
      </c>
      <c r="G14" s="2">
        <v>1.5</v>
      </c>
      <c r="H14" t="s">
        <v>216</v>
      </c>
    </row>
    <row r="15" spans="1:8" x14ac:dyDescent="0.25">
      <c r="A15" t="s">
        <v>178</v>
      </c>
      <c r="B15">
        <v>34</v>
      </c>
      <c r="C15">
        <v>37.059329986572273</v>
      </c>
      <c r="D15">
        <f t="shared" si="0"/>
        <v>3.0593299865722727</v>
      </c>
      <c r="E15" t="str">
        <f t="shared" si="1"/>
        <v/>
      </c>
      <c r="F15">
        <v>1</v>
      </c>
      <c r="G15" s="2">
        <v>1.5</v>
      </c>
      <c r="H15" t="s">
        <v>216</v>
      </c>
    </row>
    <row r="16" spans="1:8" x14ac:dyDescent="0.25">
      <c r="A16" t="s">
        <v>179</v>
      </c>
      <c r="B16">
        <v>20</v>
      </c>
      <c r="C16">
        <v>26.495002746582031</v>
      </c>
      <c r="D16">
        <f t="shared" si="0"/>
        <v>6.4950027465820313</v>
      </c>
      <c r="E16">
        <f t="shared" si="1"/>
        <v>0.2768707275390625</v>
      </c>
      <c r="F16">
        <v>2</v>
      </c>
      <c r="G16" s="2">
        <v>1.5</v>
      </c>
      <c r="H16" t="s">
        <v>217</v>
      </c>
    </row>
    <row r="17" spans="1:8" x14ac:dyDescent="0.25">
      <c r="A17" t="s">
        <v>180</v>
      </c>
      <c r="B17">
        <v>20</v>
      </c>
      <c r="C17">
        <v>26.218132019042969</v>
      </c>
      <c r="D17">
        <f t="shared" si="0"/>
        <v>6.2181320190429688</v>
      </c>
      <c r="E17" t="str">
        <f t="shared" si="1"/>
        <v/>
      </c>
      <c r="F17">
        <v>2</v>
      </c>
      <c r="G17" s="2">
        <v>1.5</v>
      </c>
      <c r="H17" t="s">
        <v>217</v>
      </c>
    </row>
    <row r="18" spans="1:8" x14ac:dyDescent="0.25">
      <c r="A18" t="s">
        <v>181</v>
      </c>
      <c r="B18">
        <v>20</v>
      </c>
      <c r="C18">
        <v>25.619548797607418</v>
      </c>
      <c r="D18">
        <f t="shared" si="0"/>
        <v>5.6195487976074183</v>
      </c>
      <c r="E18">
        <f t="shared" si="1"/>
        <v>1.6344795227050817</v>
      </c>
      <c r="F18">
        <v>2</v>
      </c>
      <c r="G18" s="2">
        <v>1.5</v>
      </c>
      <c r="H18" t="s">
        <v>218</v>
      </c>
    </row>
    <row r="19" spans="1:8" x14ac:dyDescent="0.25">
      <c r="A19" t="s">
        <v>182</v>
      </c>
      <c r="B19">
        <v>20</v>
      </c>
      <c r="C19">
        <v>27.2540283203125</v>
      </c>
      <c r="D19">
        <f t="shared" si="0"/>
        <v>7.2540283203125</v>
      </c>
      <c r="E19" t="str">
        <f t="shared" si="1"/>
        <v/>
      </c>
      <c r="F19">
        <v>2</v>
      </c>
      <c r="G19" s="2">
        <v>1.5</v>
      </c>
      <c r="H19" t="s">
        <v>218</v>
      </c>
    </row>
    <row r="20" spans="1:8" x14ac:dyDescent="0.25">
      <c r="A20" t="s">
        <v>183</v>
      </c>
      <c r="B20">
        <v>21</v>
      </c>
      <c r="C20">
        <v>25.339691162109379</v>
      </c>
      <c r="D20">
        <f t="shared" si="0"/>
        <v>4.3396911621093786</v>
      </c>
      <c r="E20">
        <f t="shared" si="1"/>
        <v>0.50647735595703836</v>
      </c>
      <c r="F20">
        <v>2</v>
      </c>
      <c r="G20" s="2">
        <v>1.5</v>
      </c>
      <c r="H20" t="s">
        <v>219</v>
      </c>
    </row>
    <row r="21" spans="1:8" x14ac:dyDescent="0.25">
      <c r="A21" t="s">
        <v>184</v>
      </c>
      <c r="B21">
        <v>21</v>
      </c>
      <c r="C21">
        <v>24.83321380615234</v>
      </c>
      <c r="D21">
        <f t="shared" si="0"/>
        <v>3.8332138061523402</v>
      </c>
      <c r="E21" t="str">
        <f t="shared" si="1"/>
        <v/>
      </c>
      <c r="F21">
        <v>2</v>
      </c>
      <c r="G21" s="2">
        <v>1.5</v>
      </c>
      <c r="H21" t="s">
        <v>219</v>
      </c>
    </row>
    <row r="22" spans="1:8" x14ac:dyDescent="0.25">
      <c r="A22" t="s">
        <v>185</v>
      </c>
      <c r="B22">
        <v>23</v>
      </c>
      <c r="C22">
        <v>27.571928024291989</v>
      </c>
      <c r="D22">
        <f t="shared" si="0"/>
        <v>4.5719280242919886</v>
      </c>
      <c r="E22">
        <f t="shared" si="1"/>
        <v>1.0766220092773402</v>
      </c>
      <c r="F22">
        <v>2</v>
      </c>
      <c r="G22" s="2">
        <v>1.5</v>
      </c>
      <c r="H22" t="s">
        <v>220</v>
      </c>
    </row>
    <row r="23" spans="1:8" x14ac:dyDescent="0.25">
      <c r="A23" t="s">
        <v>186</v>
      </c>
      <c r="B23">
        <v>23</v>
      </c>
      <c r="C23">
        <v>26.495306015014648</v>
      </c>
      <c r="D23">
        <f t="shared" si="0"/>
        <v>3.4953060150146484</v>
      </c>
      <c r="E23" t="str">
        <f t="shared" si="1"/>
        <v/>
      </c>
      <c r="F23">
        <v>2</v>
      </c>
      <c r="G23" s="2">
        <v>1.5</v>
      </c>
      <c r="H23" t="s">
        <v>220</v>
      </c>
    </row>
    <row r="24" spans="1:8" x14ac:dyDescent="0.25">
      <c r="A24" t="s">
        <v>187</v>
      </c>
      <c r="B24">
        <v>19</v>
      </c>
      <c r="C24">
        <v>27.080348968505859</v>
      </c>
      <c r="D24">
        <f t="shared" si="0"/>
        <v>8.0803489685058594</v>
      </c>
      <c r="E24">
        <f t="shared" si="1"/>
        <v>1.0055541992191053E-2</v>
      </c>
      <c r="F24">
        <v>2</v>
      </c>
      <c r="G24" s="2">
        <v>1.5</v>
      </c>
      <c r="H24" t="s">
        <v>221</v>
      </c>
    </row>
    <row r="25" spans="1:8" x14ac:dyDescent="0.25">
      <c r="A25" t="s">
        <v>188</v>
      </c>
      <c r="B25">
        <v>19</v>
      </c>
      <c r="C25">
        <v>27.070293426513668</v>
      </c>
      <c r="D25">
        <f t="shared" si="0"/>
        <v>8.0702934265136683</v>
      </c>
      <c r="E25" t="str">
        <f t="shared" si="1"/>
        <v/>
      </c>
      <c r="F25">
        <v>2</v>
      </c>
      <c r="G25" s="2">
        <v>1.5</v>
      </c>
      <c r="H25" t="s">
        <v>221</v>
      </c>
    </row>
    <row r="26" spans="1:8" x14ac:dyDescent="0.25">
      <c r="A26" t="s">
        <v>189</v>
      </c>
      <c r="B26">
        <v>20</v>
      </c>
      <c r="C26">
        <v>25.018291473388668</v>
      </c>
      <c r="D26">
        <f t="shared" si="0"/>
        <v>5.0182914733886683</v>
      </c>
      <c r="E26">
        <f t="shared" si="1"/>
        <v>0.94398307800293324</v>
      </c>
      <c r="F26">
        <v>2</v>
      </c>
      <c r="G26" s="2">
        <v>1.5</v>
      </c>
      <c r="H26" t="s">
        <v>222</v>
      </c>
    </row>
    <row r="27" spans="1:8" x14ac:dyDescent="0.25">
      <c r="A27" t="s">
        <v>190</v>
      </c>
      <c r="B27">
        <v>20</v>
      </c>
      <c r="C27">
        <v>25.962274551391602</v>
      </c>
      <c r="D27">
        <f t="shared" si="0"/>
        <v>5.9622745513916016</v>
      </c>
      <c r="E27" t="str">
        <f t="shared" si="1"/>
        <v/>
      </c>
      <c r="F27">
        <v>2</v>
      </c>
      <c r="G27" s="2">
        <v>1.5</v>
      </c>
      <c r="H27" t="s">
        <v>222</v>
      </c>
    </row>
    <row r="28" spans="1:8" x14ac:dyDescent="0.25">
      <c r="A28" t="s">
        <v>191</v>
      </c>
      <c r="B28">
        <v>29</v>
      </c>
      <c r="C28">
        <v>35.738246917724609</v>
      </c>
      <c r="D28">
        <f t="shared" si="0"/>
        <v>6.7382469177246094</v>
      </c>
      <c r="E28">
        <f t="shared" si="1"/>
        <v>1.6253967285156179</v>
      </c>
      <c r="F28">
        <v>2</v>
      </c>
      <c r="G28" s="2">
        <v>1.5</v>
      </c>
      <c r="H28" t="s">
        <v>223</v>
      </c>
    </row>
    <row r="29" spans="1:8" x14ac:dyDescent="0.25">
      <c r="A29" t="s">
        <v>192</v>
      </c>
      <c r="B29">
        <v>29</v>
      </c>
      <c r="C29">
        <v>37.363643646240227</v>
      </c>
      <c r="D29">
        <f t="shared" si="0"/>
        <v>8.3636436462402273</v>
      </c>
      <c r="E29" t="str">
        <f t="shared" si="1"/>
        <v/>
      </c>
      <c r="F29">
        <v>2</v>
      </c>
      <c r="G29" s="2">
        <v>1.5</v>
      </c>
      <c r="H29" t="s">
        <v>223</v>
      </c>
    </row>
    <row r="30" spans="1:8" x14ac:dyDescent="0.25">
      <c r="A30" t="s">
        <v>193</v>
      </c>
      <c r="B30">
        <v>28</v>
      </c>
      <c r="C30">
        <v>35.425487518310547</v>
      </c>
      <c r="D30">
        <f t="shared" si="0"/>
        <v>7.4254875183105469</v>
      </c>
      <c r="E30">
        <f t="shared" si="1"/>
        <v>1.6906967163085938</v>
      </c>
      <c r="F30">
        <v>2</v>
      </c>
      <c r="G30" s="2">
        <v>1.5</v>
      </c>
      <c r="H30" t="s">
        <v>224</v>
      </c>
    </row>
    <row r="31" spans="1:8" x14ac:dyDescent="0.25">
      <c r="A31" t="s">
        <v>194</v>
      </c>
      <c r="B31">
        <v>28</v>
      </c>
      <c r="C31">
        <v>37.116184234619141</v>
      </c>
      <c r="D31">
        <f t="shared" si="0"/>
        <v>9.1161842346191406</v>
      </c>
      <c r="E31" t="str">
        <f t="shared" si="1"/>
        <v/>
      </c>
      <c r="F31">
        <v>2</v>
      </c>
      <c r="G31" s="2">
        <v>1.5</v>
      </c>
      <c r="H31" t="s">
        <v>224</v>
      </c>
    </row>
    <row r="32" spans="1:8" x14ac:dyDescent="0.25">
      <c r="A32" t="s">
        <v>195</v>
      </c>
      <c r="B32">
        <v>20</v>
      </c>
      <c r="C32">
        <v>25.13430213928223</v>
      </c>
      <c r="D32">
        <f t="shared" si="0"/>
        <v>5.1343021392822301</v>
      </c>
      <c r="E32">
        <f t="shared" si="1"/>
        <v>1.7177257537841797</v>
      </c>
      <c r="F32">
        <v>1</v>
      </c>
      <c r="G32" s="2">
        <v>1.5</v>
      </c>
      <c r="H32" t="s">
        <v>225</v>
      </c>
    </row>
    <row r="33" spans="1:8" x14ac:dyDescent="0.25">
      <c r="A33" t="s">
        <v>196</v>
      </c>
      <c r="B33">
        <v>20</v>
      </c>
      <c r="C33">
        <v>23.41657638549805</v>
      </c>
      <c r="D33">
        <f t="shared" si="0"/>
        <v>3.4165763854980504</v>
      </c>
      <c r="E33" t="str">
        <f t="shared" si="1"/>
        <v/>
      </c>
      <c r="F33">
        <v>1</v>
      </c>
      <c r="G33" s="2">
        <v>1.5</v>
      </c>
      <c r="H33" t="s">
        <v>225</v>
      </c>
    </row>
    <row r="34" spans="1:8" x14ac:dyDescent="0.25">
      <c r="A34" t="s">
        <v>197</v>
      </c>
      <c r="B34">
        <v>22</v>
      </c>
      <c r="C34">
        <v>27.64534759521484</v>
      </c>
      <c r="D34">
        <f t="shared" si="0"/>
        <v>5.6453475952148402</v>
      </c>
      <c r="E34">
        <f t="shared" si="1"/>
        <v>1.1106338500976491</v>
      </c>
      <c r="F34">
        <v>1</v>
      </c>
      <c r="G34" s="2">
        <v>1.5</v>
      </c>
      <c r="H34" t="s">
        <v>226</v>
      </c>
    </row>
    <row r="35" spans="1:8" x14ac:dyDescent="0.25">
      <c r="A35" t="s">
        <v>198</v>
      </c>
      <c r="B35">
        <v>22</v>
      </c>
      <c r="C35">
        <v>26.534713745117191</v>
      </c>
      <c r="D35">
        <f t="shared" si="0"/>
        <v>4.5347137451171911</v>
      </c>
      <c r="E35" t="str">
        <f t="shared" si="1"/>
        <v/>
      </c>
      <c r="F35">
        <v>1</v>
      </c>
      <c r="G35" s="2">
        <v>1.5</v>
      </c>
      <c r="H35" t="s">
        <v>226</v>
      </c>
    </row>
    <row r="36" spans="1:8" x14ac:dyDescent="0.25">
      <c r="A36" t="s">
        <v>199</v>
      </c>
      <c r="B36">
        <v>22</v>
      </c>
      <c r="C36">
        <v>27.069852828979489</v>
      </c>
      <c r="D36">
        <f t="shared" si="0"/>
        <v>5.0698528289794886</v>
      </c>
      <c r="E36">
        <f t="shared" si="1"/>
        <v>1.8922939300537074</v>
      </c>
      <c r="F36">
        <v>1</v>
      </c>
      <c r="G36" s="2">
        <v>1.5</v>
      </c>
      <c r="H36" t="s">
        <v>227</v>
      </c>
    </row>
    <row r="37" spans="1:8" x14ac:dyDescent="0.25">
      <c r="A37" t="s">
        <v>200</v>
      </c>
      <c r="B37">
        <v>22</v>
      </c>
      <c r="C37">
        <v>25.177558898925781</v>
      </c>
      <c r="D37">
        <f t="shared" si="0"/>
        <v>3.1775588989257813</v>
      </c>
      <c r="E37" t="str">
        <f t="shared" si="1"/>
        <v/>
      </c>
      <c r="F37">
        <v>1</v>
      </c>
      <c r="G37" s="2">
        <v>1.5</v>
      </c>
      <c r="H37" t="s">
        <v>227</v>
      </c>
    </row>
    <row r="38" spans="1:8" x14ac:dyDescent="0.25">
      <c r="A38" t="s">
        <v>201</v>
      </c>
      <c r="B38">
        <v>20</v>
      </c>
      <c r="C38">
        <v>27.832771301269531</v>
      </c>
      <c r="D38">
        <f t="shared" si="0"/>
        <v>7.8327713012695313</v>
      </c>
      <c r="E38">
        <f t="shared" si="1"/>
        <v>0.41372871398925781</v>
      </c>
      <c r="F38">
        <v>2</v>
      </c>
      <c r="G38" s="2">
        <v>1.5</v>
      </c>
      <c r="H38" t="s">
        <v>228</v>
      </c>
    </row>
    <row r="39" spans="1:8" x14ac:dyDescent="0.25">
      <c r="A39" t="s">
        <v>202</v>
      </c>
      <c r="B39">
        <v>20</v>
      </c>
      <c r="C39">
        <v>28.246500015258789</v>
      </c>
      <c r="D39">
        <f t="shared" si="0"/>
        <v>8.2465000152587891</v>
      </c>
      <c r="E39" t="str">
        <f t="shared" si="1"/>
        <v/>
      </c>
      <c r="F39">
        <v>2</v>
      </c>
      <c r="G39" s="2">
        <v>1.5</v>
      </c>
      <c r="H39" t="s">
        <v>228</v>
      </c>
    </row>
    <row r="40" spans="1:8" x14ac:dyDescent="0.25">
      <c r="A40" t="s">
        <v>203</v>
      </c>
      <c r="B40">
        <v>26</v>
      </c>
      <c r="C40">
        <v>33.445297241210938</v>
      </c>
      <c r="D40">
        <f>ABS(C40-B40)</f>
        <v>7.4452972412109375</v>
      </c>
      <c r="E40">
        <f t="shared" si="1"/>
        <v>3.7681407928466761</v>
      </c>
      <c r="F40">
        <v>2</v>
      </c>
      <c r="G40" s="2">
        <v>1.5</v>
      </c>
      <c r="H40" t="s">
        <v>229</v>
      </c>
    </row>
    <row r="41" spans="1:8" x14ac:dyDescent="0.25">
      <c r="A41" t="s">
        <v>204</v>
      </c>
      <c r="B41">
        <v>26</v>
      </c>
      <c r="C41">
        <v>29.677156448364261</v>
      </c>
      <c r="D41">
        <f>ABS(C41-B41)</f>
        <v>3.6771564483642614</v>
      </c>
      <c r="E41" t="str">
        <f t="shared" si="1"/>
        <v/>
      </c>
      <c r="F41">
        <v>2</v>
      </c>
      <c r="G41" s="2">
        <v>1.5</v>
      </c>
      <c r="H41" t="s">
        <v>229</v>
      </c>
    </row>
  </sheetData>
  <phoneticPr fontId="2" type="noConversion"/>
  <conditionalFormatting sqref="E2:E41">
    <cfRule type="cellIs" dxfId="2" priority="1" operator="between">
      <formula>1000</formula>
      <formula>6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41"/>
  <sheetViews>
    <sheetView topLeftCell="A19" workbookViewId="0">
      <selection activeCell="H46" sqref="H46"/>
    </sheetView>
  </sheetViews>
  <sheetFormatPr defaultRowHeight="15.75" x14ac:dyDescent="0.25"/>
  <cols>
    <col min="1" max="1" width="17.7109375" bestFit="1" customWidth="1"/>
    <col min="2" max="2" width="10.5703125" bestFit="1" customWidth="1"/>
    <col min="3" max="3" width="15.5703125" bestFit="1" customWidth="1"/>
    <col min="4" max="5" width="13" bestFit="1" customWidth="1"/>
    <col min="6" max="6" width="27.140625" bestFit="1" customWidth="1"/>
    <col min="8" max="8" width="11.855468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205</v>
      </c>
      <c r="E1" s="1" t="s">
        <v>206</v>
      </c>
      <c r="F1" s="1" t="s">
        <v>207</v>
      </c>
      <c r="G1" s="1" t="s">
        <v>208</v>
      </c>
      <c r="H1" s="1" t="s">
        <v>209</v>
      </c>
    </row>
    <row r="2" spans="1:8" x14ac:dyDescent="0.25">
      <c r="A2" t="s">
        <v>165</v>
      </c>
      <c r="B2">
        <v>20</v>
      </c>
      <c r="C2">
        <v>32.232776641845703</v>
      </c>
      <c r="D2">
        <f>ABS(C2-B2)</f>
        <v>12.232776641845703</v>
      </c>
      <c r="E2">
        <f>IF(RIGHT(A2,3)="MR1",ABS(C2-_xlfn.XLOOKUP(SUBSTITUTE(A2,"_MR1","_MR2"),$A:$A,$C:$C)),"")</f>
        <v>4.0358390808105469</v>
      </c>
      <c r="F2">
        <v>2</v>
      </c>
      <c r="G2" s="2">
        <v>1.5</v>
      </c>
      <c r="H2" t="s">
        <v>210</v>
      </c>
    </row>
    <row r="3" spans="1:8" x14ac:dyDescent="0.25">
      <c r="A3" t="s">
        <v>166</v>
      </c>
      <c r="B3">
        <v>20</v>
      </c>
      <c r="C3">
        <v>36.26861572265625</v>
      </c>
      <c r="D3">
        <f t="shared" ref="D3:D39" si="0">ABS(C3-B3)</f>
        <v>16.26861572265625</v>
      </c>
      <c r="E3" t="str">
        <f t="shared" ref="E3:E41" si="1">IF(RIGHT(A3,3)="MR1",ABS(C3-_xlfn.XLOOKUP(SUBSTITUTE(A3,"_MR1","_MR2"),$A:$A,$C:$C)),"")</f>
        <v/>
      </c>
      <c r="F3">
        <v>2</v>
      </c>
      <c r="G3" s="2">
        <v>1.5</v>
      </c>
      <c r="H3" t="s">
        <v>210</v>
      </c>
    </row>
    <row r="4" spans="1:8" x14ac:dyDescent="0.25">
      <c r="A4" t="s">
        <v>167</v>
      </c>
      <c r="B4">
        <v>25</v>
      </c>
      <c r="C4">
        <v>34.504299163818359</v>
      </c>
      <c r="D4">
        <f t="shared" si="0"/>
        <v>9.5042991638183594</v>
      </c>
      <c r="E4">
        <f t="shared" si="1"/>
        <v>1.4333038330078125</v>
      </c>
      <c r="F4">
        <v>2</v>
      </c>
      <c r="G4" s="2">
        <v>1.5</v>
      </c>
      <c r="H4" t="s">
        <v>211</v>
      </c>
    </row>
    <row r="5" spans="1:8" x14ac:dyDescent="0.25">
      <c r="A5" t="s">
        <v>168</v>
      </c>
      <c r="B5">
        <v>25</v>
      </c>
      <c r="C5">
        <v>35.937602996826172</v>
      </c>
      <c r="D5">
        <f t="shared" si="0"/>
        <v>10.937602996826172</v>
      </c>
      <c r="E5" t="str">
        <f t="shared" si="1"/>
        <v/>
      </c>
      <c r="F5">
        <v>2</v>
      </c>
      <c r="G5" s="2">
        <v>1.5</v>
      </c>
      <c r="H5" t="s">
        <v>211</v>
      </c>
    </row>
    <row r="6" spans="1:8" x14ac:dyDescent="0.25">
      <c r="A6" t="s">
        <v>169</v>
      </c>
      <c r="B6">
        <v>22</v>
      </c>
      <c r="C6">
        <v>28.821016311645511</v>
      </c>
      <c r="D6">
        <f t="shared" si="0"/>
        <v>6.8210163116455114</v>
      </c>
      <c r="E6">
        <f t="shared" si="1"/>
        <v>1.3716506958007813</v>
      </c>
      <c r="F6">
        <v>1</v>
      </c>
      <c r="G6" s="2">
        <v>1.5</v>
      </c>
      <c r="H6" t="s">
        <v>212</v>
      </c>
    </row>
    <row r="7" spans="1:8" x14ac:dyDescent="0.25">
      <c r="A7" t="s">
        <v>170</v>
      </c>
      <c r="B7">
        <v>22</v>
      </c>
      <c r="C7">
        <v>27.44936561584473</v>
      </c>
      <c r="D7">
        <f t="shared" si="0"/>
        <v>5.4493656158447301</v>
      </c>
      <c r="E7" t="str">
        <f t="shared" si="1"/>
        <v/>
      </c>
      <c r="F7">
        <v>1</v>
      </c>
      <c r="G7" s="2">
        <v>1.5</v>
      </c>
      <c r="H7" t="s">
        <v>212</v>
      </c>
    </row>
    <row r="8" spans="1:8" x14ac:dyDescent="0.25">
      <c r="A8" t="s">
        <v>171</v>
      </c>
      <c r="B8">
        <v>29</v>
      </c>
      <c r="C8">
        <v>35.61566162109375</v>
      </c>
      <c r="D8">
        <f t="shared" si="0"/>
        <v>6.61566162109375</v>
      </c>
      <c r="E8">
        <f t="shared" si="1"/>
        <v>1.5001449584960866</v>
      </c>
      <c r="F8">
        <v>1</v>
      </c>
      <c r="G8" s="2">
        <v>1.5</v>
      </c>
      <c r="H8" t="s">
        <v>213</v>
      </c>
    </row>
    <row r="9" spans="1:8" x14ac:dyDescent="0.25">
      <c r="A9" t="s">
        <v>172</v>
      </c>
      <c r="B9">
        <v>29</v>
      </c>
      <c r="C9">
        <v>37.115806579589837</v>
      </c>
      <c r="D9">
        <f t="shared" si="0"/>
        <v>8.1158065795898366</v>
      </c>
      <c r="E9" t="str">
        <f t="shared" si="1"/>
        <v/>
      </c>
      <c r="F9">
        <v>1</v>
      </c>
      <c r="G9" s="2">
        <v>1.5</v>
      </c>
      <c r="H9" t="s">
        <v>213</v>
      </c>
    </row>
    <row r="10" spans="1:8" x14ac:dyDescent="0.25">
      <c r="A10" t="s">
        <v>173</v>
      </c>
      <c r="B10">
        <v>23</v>
      </c>
      <c r="C10">
        <v>30.725790023803711</v>
      </c>
      <c r="D10">
        <f t="shared" si="0"/>
        <v>7.7257900238037109</v>
      </c>
      <c r="E10">
        <f t="shared" si="1"/>
        <v>1.9990692138671911</v>
      </c>
      <c r="F10">
        <v>1</v>
      </c>
      <c r="G10" s="2">
        <v>1.5</v>
      </c>
      <c r="H10" t="s">
        <v>214</v>
      </c>
    </row>
    <row r="11" spans="1:8" x14ac:dyDescent="0.25">
      <c r="A11" t="s">
        <v>174</v>
      </c>
      <c r="B11">
        <v>23</v>
      </c>
      <c r="C11">
        <v>28.72672080993652</v>
      </c>
      <c r="D11">
        <f t="shared" si="0"/>
        <v>5.7267208099365199</v>
      </c>
      <c r="E11" t="str">
        <f t="shared" si="1"/>
        <v/>
      </c>
      <c r="F11">
        <v>1</v>
      </c>
      <c r="G11" s="2">
        <v>1.5</v>
      </c>
      <c r="H11" t="s">
        <v>214</v>
      </c>
    </row>
    <row r="12" spans="1:8" x14ac:dyDescent="0.25">
      <c r="A12" t="s">
        <v>175</v>
      </c>
      <c r="B12">
        <v>25</v>
      </c>
      <c r="C12">
        <v>33.029075622558587</v>
      </c>
      <c r="D12">
        <f t="shared" si="0"/>
        <v>8.0290756225585866</v>
      </c>
      <c r="E12">
        <f t="shared" si="1"/>
        <v>1.085336685180657</v>
      </c>
      <c r="F12">
        <v>1</v>
      </c>
      <c r="G12" s="2">
        <v>1.5</v>
      </c>
      <c r="H12" t="s">
        <v>215</v>
      </c>
    </row>
    <row r="13" spans="1:8" x14ac:dyDescent="0.25">
      <c r="A13" t="s">
        <v>176</v>
      </c>
      <c r="B13">
        <v>25</v>
      </c>
      <c r="C13">
        <v>31.94373893737793</v>
      </c>
      <c r="D13">
        <f t="shared" si="0"/>
        <v>6.9437389373779297</v>
      </c>
      <c r="E13" t="str">
        <f t="shared" si="1"/>
        <v/>
      </c>
      <c r="F13">
        <v>1</v>
      </c>
      <c r="G13" s="2">
        <v>1.5</v>
      </c>
      <c r="H13" t="s">
        <v>215</v>
      </c>
    </row>
    <row r="14" spans="1:8" x14ac:dyDescent="0.25">
      <c r="A14" t="s">
        <v>177</v>
      </c>
      <c r="B14">
        <v>34</v>
      </c>
      <c r="C14">
        <v>40.258289337158203</v>
      </c>
      <c r="D14">
        <f t="shared" si="0"/>
        <v>6.2582893371582031</v>
      </c>
      <c r="E14">
        <f t="shared" si="1"/>
        <v>0.14447402954101563</v>
      </c>
      <c r="F14">
        <v>1</v>
      </c>
      <c r="G14" s="2">
        <v>1.5</v>
      </c>
      <c r="H14" t="s">
        <v>216</v>
      </c>
    </row>
    <row r="15" spans="1:8" x14ac:dyDescent="0.25">
      <c r="A15" t="s">
        <v>178</v>
      </c>
      <c r="B15">
        <v>34</v>
      </c>
      <c r="C15">
        <v>40.113815307617188</v>
      </c>
      <c r="D15">
        <f t="shared" si="0"/>
        <v>6.1138153076171875</v>
      </c>
      <c r="E15" t="str">
        <f t="shared" si="1"/>
        <v/>
      </c>
      <c r="F15">
        <v>1</v>
      </c>
      <c r="G15" s="2">
        <v>1.5</v>
      </c>
      <c r="H15" t="s">
        <v>216</v>
      </c>
    </row>
    <row r="16" spans="1:8" x14ac:dyDescent="0.25">
      <c r="A16" t="s">
        <v>179</v>
      </c>
      <c r="B16">
        <v>20</v>
      </c>
      <c r="C16">
        <v>29.61190223693848</v>
      </c>
      <c r="D16">
        <f t="shared" si="0"/>
        <v>9.6119022369384801</v>
      </c>
      <c r="E16">
        <f t="shared" si="1"/>
        <v>2.5879497528076065</v>
      </c>
      <c r="F16">
        <v>2</v>
      </c>
      <c r="G16" s="2">
        <v>1.5</v>
      </c>
      <c r="H16" t="s">
        <v>217</v>
      </c>
    </row>
    <row r="17" spans="1:8" x14ac:dyDescent="0.25">
      <c r="A17" t="s">
        <v>180</v>
      </c>
      <c r="B17">
        <v>20</v>
      </c>
      <c r="C17">
        <v>32.199851989746087</v>
      </c>
      <c r="D17">
        <f t="shared" si="0"/>
        <v>12.199851989746087</v>
      </c>
      <c r="E17" t="str">
        <f t="shared" si="1"/>
        <v/>
      </c>
      <c r="F17">
        <v>2</v>
      </c>
      <c r="G17" s="2">
        <v>1.5</v>
      </c>
      <c r="H17" t="s">
        <v>217</v>
      </c>
    </row>
    <row r="18" spans="1:8" x14ac:dyDescent="0.25">
      <c r="A18" t="s">
        <v>181</v>
      </c>
      <c r="B18">
        <v>20</v>
      </c>
      <c r="C18">
        <v>33.233863830566413</v>
      </c>
      <c r="D18">
        <f t="shared" si="0"/>
        <v>13.233863830566413</v>
      </c>
      <c r="E18">
        <f t="shared" si="1"/>
        <v>0.39117813110352273</v>
      </c>
      <c r="F18">
        <v>2</v>
      </c>
      <c r="G18" s="2">
        <v>1.5</v>
      </c>
      <c r="H18" t="s">
        <v>218</v>
      </c>
    </row>
    <row r="19" spans="1:8" x14ac:dyDescent="0.25">
      <c r="A19" t="s">
        <v>182</v>
      </c>
      <c r="B19">
        <v>20</v>
      </c>
      <c r="C19">
        <v>32.842685699462891</v>
      </c>
      <c r="D19">
        <f t="shared" si="0"/>
        <v>12.842685699462891</v>
      </c>
      <c r="E19" t="str">
        <f t="shared" si="1"/>
        <v/>
      </c>
      <c r="F19">
        <v>2</v>
      </c>
      <c r="G19" s="2">
        <v>1.5</v>
      </c>
      <c r="H19" t="s">
        <v>218</v>
      </c>
    </row>
    <row r="20" spans="1:8" x14ac:dyDescent="0.25">
      <c r="A20" t="s">
        <v>183</v>
      </c>
      <c r="B20">
        <v>21</v>
      </c>
      <c r="C20">
        <v>32.165992736816413</v>
      </c>
      <c r="D20">
        <f t="shared" si="0"/>
        <v>11.165992736816413</v>
      </c>
      <c r="E20">
        <f t="shared" si="1"/>
        <v>1.3122978210449148</v>
      </c>
      <c r="F20">
        <v>2</v>
      </c>
      <c r="G20" s="2">
        <v>1.5</v>
      </c>
      <c r="H20" t="s">
        <v>219</v>
      </c>
    </row>
    <row r="21" spans="1:8" x14ac:dyDescent="0.25">
      <c r="A21" t="s">
        <v>184</v>
      </c>
      <c r="B21">
        <v>21</v>
      </c>
      <c r="C21">
        <v>33.478290557861328</v>
      </c>
      <c r="D21">
        <f t="shared" si="0"/>
        <v>12.478290557861328</v>
      </c>
      <c r="E21" t="str">
        <f t="shared" si="1"/>
        <v/>
      </c>
      <c r="F21">
        <v>2</v>
      </c>
      <c r="G21" s="2">
        <v>1.5</v>
      </c>
      <c r="H21" t="s">
        <v>219</v>
      </c>
    </row>
    <row r="22" spans="1:8" x14ac:dyDescent="0.25">
      <c r="A22" t="s">
        <v>185</v>
      </c>
      <c r="B22">
        <v>23</v>
      </c>
      <c r="C22">
        <v>35.313026428222663</v>
      </c>
      <c r="D22">
        <f t="shared" si="0"/>
        <v>12.313026428222663</v>
      </c>
      <c r="E22">
        <f t="shared" si="1"/>
        <v>0.16755676269530539</v>
      </c>
      <c r="F22">
        <v>2</v>
      </c>
      <c r="G22" s="2">
        <v>1.5</v>
      </c>
      <c r="H22" t="s">
        <v>220</v>
      </c>
    </row>
    <row r="23" spans="1:8" x14ac:dyDescent="0.25">
      <c r="A23" t="s">
        <v>186</v>
      </c>
      <c r="B23">
        <v>23</v>
      </c>
      <c r="C23">
        <v>35.480583190917969</v>
      </c>
      <c r="D23">
        <f t="shared" si="0"/>
        <v>12.480583190917969</v>
      </c>
      <c r="E23" t="str">
        <f t="shared" si="1"/>
        <v/>
      </c>
      <c r="F23">
        <v>2</v>
      </c>
      <c r="G23" s="2">
        <v>1.5</v>
      </c>
      <c r="H23" t="s">
        <v>220</v>
      </c>
    </row>
    <row r="24" spans="1:8" x14ac:dyDescent="0.25">
      <c r="A24" t="s">
        <v>187</v>
      </c>
      <c r="B24">
        <v>19</v>
      </c>
      <c r="C24">
        <v>32.318946838378913</v>
      </c>
      <c r="D24">
        <f t="shared" si="0"/>
        <v>13.318946838378913</v>
      </c>
      <c r="E24">
        <f t="shared" si="1"/>
        <v>2.9231605529785085</v>
      </c>
      <c r="F24">
        <v>2</v>
      </c>
      <c r="G24" s="2">
        <v>1.5</v>
      </c>
      <c r="H24" t="s">
        <v>221</v>
      </c>
    </row>
    <row r="25" spans="1:8" x14ac:dyDescent="0.25">
      <c r="A25" t="s">
        <v>188</v>
      </c>
      <c r="B25">
        <v>19</v>
      </c>
      <c r="C25">
        <v>35.242107391357422</v>
      </c>
      <c r="D25">
        <f t="shared" si="0"/>
        <v>16.242107391357422</v>
      </c>
      <c r="E25" t="str">
        <f t="shared" si="1"/>
        <v/>
      </c>
      <c r="F25">
        <v>2</v>
      </c>
      <c r="G25" s="2">
        <v>1.5</v>
      </c>
      <c r="H25" t="s">
        <v>221</v>
      </c>
    </row>
    <row r="26" spans="1:8" x14ac:dyDescent="0.25">
      <c r="A26" t="s">
        <v>189</v>
      </c>
      <c r="B26">
        <v>20</v>
      </c>
      <c r="C26">
        <v>26.639802932739261</v>
      </c>
      <c r="D26">
        <f t="shared" si="0"/>
        <v>6.6398029327392614</v>
      </c>
      <c r="E26">
        <f t="shared" si="1"/>
        <v>0.96922874450682883</v>
      </c>
      <c r="F26">
        <v>2</v>
      </c>
      <c r="G26" s="2">
        <v>1.5</v>
      </c>
      <c r="H26" t="s">
        <v>222</v>
      </c>
    </row>
    <row r="27" spans="1:8" x14ac:dyDescent="0.25">
      <c r="A27" t="s">
        <v>190</v>
      </c>
      <c r="B27">
        <v>20</v>
      </c>
      <c r="C27">
        <v>27.60903167724609</v>
      </c>
      <c r="D27">
        <f t="shared" si="0"/>
        <v>7.6090316772460902</v>
      </c>
      <c r="E27" t="str">
        <f t="shared" si="1"/>
        <v/>
      </c>
      <c r="F27">
        <v>2</v>
      </c>
      <c r="G27" s="2">
        <v>1.5</v>
      </c>
      <c r="H27" t="s">
        <v>222</v>
      </c>
    </row>
    <row r="28" spans="1:8" x14ac:dyDescent="0.25">
      <c r="A28" t="s">
        <v>191</v>
      </c>
      <c r="B28">
        <v>29</v>
      </c>
      <c r="C28">
        <v>36.330829620361328</v>
      </c>
      <c r="D28">
        <f t="shared" si="0"/>
        <v>7.3308296203613281</v>
      </c>
      <c r="E28">
        <f t="shared" si="1"/>
        <v>1.07763671875</v>
      </c>
      <c r="F28">
        <v>2</v>
      </c>
      <c r="G28" s="2">
        <v>1.5</v>
      </c>
      <c r="H28" t="s">
        <v>223</v>
      </c>
    </row>
    <row r="29" spans="1:8" x14ac:dyDescent="0.25">
      <c r="A29" t="s">
        <v>192</v>
      </c>
      <c r="B29">
        <v>29</v>
      </c>
      <c r="C29">
        <v>37.408466339111328</v>
      </c>
      <c r="D29">
        <f t="shared" si="0"/>
        <v>8.4084663391113281</v>
      </c>
      <c r="E29" t="str">
        <f t="shared" si="1"/>
        <v/>
      </c>
      <c r="F29">
        <v>2</v>
      </c>
      <c r="G29" s="2">
        <v>1.5</v>
      </c>
      <c r="H29" t="s">
        <v>223</v>
      </c>
    </row>
    <row r="30" spans="1:8" x14ac:dyDescent="0.25">
      <c r="A30" t="s">
        <v>193</v>
      </c>
      <c r="B30">
        <v>28</v>
      </c>
      <c r="C30">
        <v>33.733741760253913</v>
      </c>
      <c r="D30">
        <f t="shared" si="0"/>
        <v>5.7337417602539134</v>
      </c>
      <c r="E30">
        <f t="shared" si="1"/>
        <v>0.63816070556639914</v>
      </c>
      <c r="F30">
        <v>2</v>
      </c>
      <c r="G30" s="2">
        <v>1.5</v>
      </c>
      <c r="H30" t="s">
        <v>224</v>
      </c>
    </row>
    <row r="31" spans="1:8" x14ac:dyDescent="0.25">
      <c r="A31" t="s">
        <v>194</v>
      </c>
      <c r="B31">
        <v>28</v>
      </c>
      <c r="C31">
        <v>34.371902465820313</v>
      </c>
      <c r="D31">
        <f t="shared" si="0"/>
        <v>6.3719024658203125</v>
      </c>
      <c r="E31" t="str">
        <f t="shared" si="1"/>
        <v/>
      </c>
      <c r="F31">
        <v>2</v>
      </c>
      <c r="G31" s="2">
        <v>1.5</v>
      </c>
      <c r="H31" t="s">
        <v>224</v>
      </c>
    </row>
    <row r="32" spans="1:8" x14ac:dyDescent="0.25">
      <c r="A32" t="s">
        <v>195</v>
      </c>
      <c r="B32">
        <v>20</v>
      </c>
      <c r="C32">
        <v>28.85782432556152</v>
      </c>
      <c r="D32">
        <f t="shared" si="0"/>
        <v>8.8578243255615199</v>
      </c>
      <c r="E32">
        <f t="shared" si="1"/>
        <v>0.11090850830078125</v>
      </c>
      <c r="F32">
        <v>1</v>
      </c>
      <c r="G32" s="2">
        <v>1.5</v>
      </c>
      <c r="H32" t="s">
        <v>225</v>
      </c>
    </row>
    <row r="33" spans="1:8" x14ac:dyDescent="0.25">
      <c r="A33" t="s">
        <v>196</v>
      </c>
      <c r="B33">
        <v>20</v>
      </c>
      <c r="C33">
        <v>28.746915817260739</v>
      </c>
      <c r="D33">
        <f t="shared" si="0"/>
        <v>8.7469158172607386</v>
      </c>
      <c r="E33" t="str">
        <f t="shared" si="1"/>
        <v/>
      </c>
      <c r="F33">
        <v>1</v>
      </c>
      <c r="G33" s="2">
        <v>1.5</v>
      </c>
      <c r="H33" t="s">
        <v>225</v>
      </c>
    </row>
    <row r="34" spans="1:8" x14ac:dyDescent="0.25">
      <c r="A34" t="s">
        <v>197</v>
      </c>
      <c r="B34">
        <v>22</v>
      </c>
      <c r="C34">
        <v>34.556167602539063</v>
      </c>
      <c r="D34">
        <f t="shared" si="0"/>
        <v>12.556167602539063</v>
      </c>
      <c r="E34">
        <f t="shared" si="1"/>
        <v>2.2606391906738352</v>
      </c>
      <c r="F34">
        <v>1</v>
      </c>
      <c r="G34" s="2">
        <v>1.5</v>
      </c>
      <c r="H34" t="s">
        <v>226</v>
      </c>
    </row>
    <row r="35" spans="1:8" x14ac:dyDescent="0.25">
      <c r="A35" t="s">
        <v>198</v>
      </c>
      <c r="B35">
        <v>22</v>
      </c>
      <c r="C35">
        <v>32.295528411865227</v>
      </c>
      <c r="D35">
        <f t="shared" si="0"/>
        <v>10.295528411865227</v>
      </c>
      <c r="E35" t="str">
        <f t="shared" si="1"/>
        <v/>
      </c>
      <c r="F35">
        <v>1</v>
      </c>
      <c r="G35" s="2">
        <v>1.5</v>
      </c>
      <c r="H35" t="s">
        <v>226</v>
      </c>
    </row>
    <row r="36" spans="1:8" x14ac:dyDescent="0.25">
      <c r="A36" t="s">
        <v>199</v>
      </c>
      <c r="B36">
        <v>22</v>
      </c>
      <c r="C36">
        <v>31.64974212646484</v>
      </c>
      <c r="D36">
        <f t="shared" si="0"/>
        <v>9.6497421264648402</v>
      </c>
      <c r="E36">
        <f t="shared" si="1"/>
        <v>9.2977523803710938E-2</v>
      </c>
      <c r="F36">
        <v>1</v>
      </c>
      <c r="G36" s="2">
        <v>1.5</v>
      </c>
      <c r="H36" t="s">
        <v>227</v>
      </c>
    </row>
    <row r="37" spans="1:8" x14ac:dyDescent="0.25">
      <c r="A37" t="s">
        <v>200</v>
      </c>
      <c r="B37">
        <v>22</v>
      </c>
      <c r="C37">
        <v>31.556764602661129</v>
      </c>
      <c r="D37">
        <f t="shared" si="0"/>
        <v>9.5567646026611293</v>
      </c>
      <c r="E37" t="str">
        <f t="shared" si="1"/>
        <v/>
      </c>
      <c r="F37">
        <v>1</v>
      </c>
      <c r="G37" s="2">
        <v>1.5</v>
      </c>
      <c r="H37" t="s">
        <v>227</v>
      </c>
    </row>
    <row r="38" spans="1:8" x14ac:dyDescent="0.25">
      <c r="A38" t="s">
        <v>201</v>
      </c>
      <c r="B38">
        <v>20</v>
      </c>
      <c r="C38">
        <v>26.367439270019531</v>
      </c>
      <c r="D38">
        <f t="shared" si="0"/>
        <v>6.3674392700195313</v>
      </c>
      <c r="E38">
        <f t="shared" si="1"/>
        <v>0.61238479614258168</v>
      </c>
      <c r="F38">
        <v>2</v>
      </c>
      <c r="G38" s="2">
        <v>1.5</v>
      </c>
      <c r="H38" t="s">
        <v>228</v>
      </c>
    </row>
    <row r="39" spans="1:8" x14ac:dyDescent="0.25">
      <c r="A39" t="s">
        <v>202</v>
      </c>
      <c r="B39">
        <v>20</v>
      </c>
      <c r="C39">
        <v>25.75505447387695</v>
      </c>
      <c r="D39">
        <f t="shared" si="0"/>
        <v>5.7550544738769496</v>
      </c>
      <c r="E39" t="str">
        <f t="shared" si="1"/>
        <v/>
      </c>
      <c r="F39">
        <v>2</v>
      </c>
      <c r="G39" s="2">
        <v>1.5</v>
      </c>
      <c r="H39" t="s">
        <v>228</v>
      </c>
    </row>
    <row r="40" spans="1:8" x14ac:dyDescent="0.25">
      <c r="A40" t="s">
        <v>203</v>
      </c>
      <c r="B40">
        <v>26</v>
      </c>
      <c r="C40">
        <v>35.1661376953125</v>
      </c>
      <c r="D40">
        <f>ABS(C40-B40)</f>
        <v>9.1661376953125</v>
      </c>
      <c r="E40">
        <f t="shared" si="1"/>
        <v>1.1886100769042969</v>
      </c>
      <c r="F40">
        <v>2</v>
      </c>
      <c r="G40" s="2">
        <v>1.5</v>
      </c>
      <c r="H40" t="s">
        <v>229</v>
      </c>
    </row>
    <row r="41" spans="1:8" x14ac:dyDescent="0.25">
      <c r="A41" t="s">
        <v>204</v>
      </c>
      <c r="B41">
        <v>26</v>
      </c>
      <c r="C41">
        <v>36.354747772216797</v>
      </c>
      <c r="D41">
        <f>ABS(C41-B41)</f>
        <v>10.354747772216797</v>
      </c>
      <c r="E41" t="str">
        <f t="shared" si="1"/>
        <v/>
      </c>
      <c r="F41">
        <v>2</v>
      </c>
      <c r="G41" s="2">
        <v>1.5</v>
      </c>
      <c r="H41" t="s">
        <v>229</v>
      </c>
    </row>
  </sheetData>
  <phoneticPr fontId="2" type="noConversion"/>
  <conditionalFormatting sqref="E2:E41">
    <cfRule type="cellIs" dxfId="1" priority="1" operator="between">
      <formula>1000</formula>
      <formula>6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41"/>
  <sheetViews>
    <sheetView tabSelected="1" topLeftCell="A13" workbookViewId="0">
      <selection activeCell="I37" sqref="I37"/>
    </sheetView>
  </sheetViews>
  <sheetFormatPr defaultRowHeight="15.75" x14ac:dyDescent="0.25"/>
  <cols>
    <col min="1" max="1" width="17.7109375" bestFit="1" customWidth="1"/>
    <col min="2" max="2" width="10.5703125" bestFit="1" customWidth="1"/>
    <col min="3" max="3" width="15.5703125" bestFit="1" customWidth="1"/>
    <col min="4" max="5" width="13" bestFit="1" customWidth="1"/>
    <col min="6" max="6" width="27.140625" bestFit="1" customWidth="1"/>
    <col min="8" max="8" width="11.855468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205</v>
      </c>
      <c r="E1" s="1" t="s">
        <v>206</v>
      </c>
      <c r="F1" s="1" t="s">
        <v>207</v>
      </c>
      <c r="G1" s="1" t="s">
        <v>208</v>
      </c>
      <c r="H1" s="1" t="s">
        <v>209</v>
      </c>
    </row>
    <row r="2" spans="1:8" x14ac:dyDescent="0.25">
      <c r="A2" t="s">
        <v>165</v>
      </c>
      <c r="B2">
        <v>20</v>
      </c>
      <c r="C2">
        <v>32.471622467041023</v>
      </c>
      <c r="D2">
        <f>ABS(C2-B2)</f>
        <v>12.471622467041023</v>
      </c>
      <c r="E2">
        <f>IF(RIGHT(A2,3)="MR1",ABS(C2-_xlfn.XLOOKUP(SUBSTITUTE(A2,"_MR1","_MR2"),$A:$A,$C:$C)),"")</f>
        <v>0.37271499633789063</v>
      </c>
      <c r="F2">
        <v>2</v>
      </c>
      <c r="G2" s="2">
        <v>1.5</v>
      </c>
      <c r="H2" t="s">
        <v>210</v>
      </c>
    </row>
    <row r="3" spans="1:8" x14ac:dyDescent="0.25">
      <c r="A3" t="s">
        <v>166</v>
      </c>
      <c r="B3">
        <v>20</v>
      </c>
      <c r="C3">
        <v>32.844337463378913</v>
      </c>
      <c r="D3">
        <f t="shared" ref="D3:D39" si="0">ABS(C3-B3)</f>
        <v>12.844337463378913</v>
      </c>
      <c r="E3" t="str">
        <f t="shared" ref="E3:E41" si="1">IF(RIGHT(A3,3)="MR1",ABS(C3-_xlfn.XLOOKUP(SUBSTITUTE(A3,"_MR1","_MR2"),$A:$A,$C:$C)),"")</f>
        <v/>
      </c>
      <c r="F3">
        <v>2</v>
      </c>
      <c r="G3" s="2">
        <v>1.5</v>
      </c>
      <c r="H3" t="s">
        <v>210</v>
      </c>
    </row>
    <row r="4" spans="1:8" x14ac:dyDescent="0.25">
      <c r="A4" t="s">
        <v>167</v>
      </c>
      <c r="B4">
        <v>25</v>
      </c>
      <c r="C4">
        <v>34.79638671875</v>
      </c>
      <c r="D4">
        <f t="shared" si="0"/>
        <v>9.79638671875</v>
      </c>
      <c r="E4">
        <f t="shared" si="1"/>
        <v>1.2718925476074219</v>
      </c>
      <c r="F4">
        <v>2</v>
      </c>
      <c r="G4" s="2">
        <v>1.5</v>
      </c>
      <c r="H4" t="s">
        <v>211</v>
      </c>
    </row>
    <row r="5" spans="1:8" x14ac:dyDescent="0.25">
      <c r="A5" t="s">
        <v>168</v>
      </c>
      <c r="B5">
        <v>25</v>
      </c>
      <c r="C5">
        <v>33.524494171142578</v>
      </c>
      <c r="D5">
        <f t="shared" si="0"/>
        <v>8.5244941711425781</v>
      </c>
      <c r="E5" t="str">
        <f t="shared" si="1"/>
        <v/>
      </c>
      <c r="F5">
        <v>2</v>
      </c>
      <c r="G5" s="2">
        <v>1.5</v>
      </c>
      <c r="H5" t="s">
        <v>211</v>
      </c>
    </row>
    <row r="6" spans="1:8" x14ac:dyDescent="0.25">
      <c r="A6" t="s">
        <v>169</v>
      </c>
      <c r="B6">
        <v>22</v>
      </c>
      <c r="C6">
        <v>31.52177810668945</v>
      </c>
      <c r="D6">
        <f t="shared" si="0"/>
        <v>9.5217781066894496</v>
      </c>
      <c r="E6">
        <f t="shared" si="1"/>
        <v>0.25425529479980113</v>
      </c>
      <c r="F6">
        <v>1</v>
      </c>
      <c r="G6" s="2">
        <v>1.5</v>
      </c>
      <c r="H6" t="s">
        <v>212</v>
      </c>
    </row>
    <row r="7" spans="1:8" x14ac:dyDescent="0.25">
      <c r="A7" t="s">
        <v>170</v>
      </c>
      <c r="B7">
        <v>22</v>
      </c>
      <c r="C7">
        <v>31.267522811889648</v>
      </c>
      <c r="D7">
        <f t="shared" si="0"/>
        <v>9.2675228118896484</v>
      </c>
      <c r="E7" t="str">
        <f t="shared" si="1"/>
        <v/>
      </c>
      <c r="F7">
        <v>1</v>
      </c>
      <c r="G7" s="2">
        <v>1.5</v>
      </c>
      <c r="H7" t="s">
        <v>212</v>
      </c>
    </row>
    <row r="8" spans="1:8" x14ac:dyDescent="0.25">
      <c r="A8" t="s">
        <v>171</v>
      </c>
      <c r="B8">
        <v>29</v>
      </c>
      <c r="C8">
        <v>32.610805511474609</v>
      </c>
      <c r="D8">
        <f t="shared" si="0"/>
        <v>3.6108055114746094</v>
      </c>
      <c r="E8">
        <f t="shared" si="1"/>
        <v>0.33301925659180398</v>
      </c>
      <c r="F8">
        <v>1</v>
      </c>
      <c r="G8" s="2">
        <v>1.5</v>
      </c>
      <c r="H8" t="s">
        <v>213</v>
      </c>
    </row>
    <row r="9" spans="1:8" x14ac:dyDescent="0.25">
      <c r="A9" t="s">
        <v>172</v>
      </c>
      <c r="B9">
        <v>29</v>
      </c>
      <c r="C9">
        <v>32.943824768066413</v>
      </c>
      <c r="D9">
        <f t="shared" si="0"/>
        <v>3.9438247680664134</v>
      </c>
      <c r="E9" t="str">
        <f t="shared" si="1"/>
        <v/>
      </c>
      <c r="F9">
        <v>1</v>
      </c>
      <c r="G9" s="2">
        <v>1.5</v>
      </c>
      <c r="H9" t="s">
        <v>213</v>
      </c>
    </row>
    <row r="10" spans="1:8" x14ac:dyDescent="0.25">
      <c r="A10" t="s">
        <v>173</v>
      </c>
      <c r="B10">
        <v>23</v>
      </c>
      <c r="C10">
        <v>31.244880676269531</v>
      </c>
      <c r="D10">
        <f t="shared" si="0"/>
        <v>8.2448806762695313</v>
      </c>
      <c r="E10">
        <f t="shared" si="1"/>
        <v>0.15742492675780895</v>
      </c>
      <c r="F10">
        <v>1</v>
      </c>
      <c r="G10" s="2">
        <v>1.5</v>
      </c>
      <c r="H10" t="s">
        <v>214</v>
      </c>
    </row>
    <row r="11" spans="1:8" x14ac:dyDescent="0.25">
      <c r="A11" t="s">
        <v>174</v>
      </c>
      <c r="B11">
        <v>23</v>
      </c>
      <c r="C11">
        <v>31.40230560302734</v>
      </c>
      <c r="D11">
        <f t="shared" si="0"/>
        <v>8.4023056030273402</v>
      </c>
      <c r="E11" t="str">
        <f t="shared" si="1"/>
        <v/>
      </c>
      <c r="F11">
        <v>1</v>
      </c>
      <c r="G11" s="2">
        <v>1.5</v>
      </c>
      <c r="H11" t="s">
        <v>214</v>
      </c>
    </row>
    <row r="12" spans="1:8" x14ac:dyDescent="0.25">
      <c r="A12" t="s">
        <v>175</v>
      </c>
      <c r="B12">
        <v>25</v>
      </c>
      <c r="C12">
        <v>30.91657638549805</v>
      </c>
      <c r="D12">
        <f t="shared" si="0"/>
        <v>5.9165763854980504</v>
      </c>
      <c r="E12">
        <f t="shared" si="1"/>
        <v>0.18371963500976918</v>
      </c>
      <c r="F12">
        <v>1</v>
      </c>
      <c r="G12" s="2">
        <v>1.5</v>
      </c>
      <c r="H12" t="s">
        <v>215</v>
      </c>
    </row>
    <row r="13" spans="1:8" x14ac:dyDescent="0.25">
      <c r="A13" t="s">
        <v>176</v>
      </c>
      <c r="B13">
        <v>25</v>
      </c>
      <c r="C13">
        <v>30.732856750488281</v>
      </c>
      <c r="D13">
        <f t="shared" si="0"/>
        <v>5.7328567504882813</v>
      </c>
      <c r="E13" t="str">
        <f t="shared" si="1"/>
        <v/>
      </c>
      <c r="F13">
        <v>1</v>
      </c>
      <c r="G13" s="2">
        <v>1.5</v>
      </c>
      <c r="H13" t="s">
        <v>215</v>
      </c>
    </row>
    <row r="14" spans="1:8" x14ac:dyDescent="0.25">
      <c r="A14" t="s">
        <v>177</v>
      </c>
      <c r="B14">
        <v>34</v>
      </c>
      <c r="C14">
        <v>37.946533203125</v>
      </c>
      <c r="D14">
        <f t="shared" si="0"/>
        <v>3.946533203125</v>
      </c>
      <c r="E14">
        <f t="shared" si="1"/>
        <v>0.12734222412108664</v>
      </c>
      <c r="F14">
        <v>1</v>
      </c>
      <c r="G14" s="2">
        <v>1.5</v>
      </c>
      <c r="H14" t="s">
        <v>216</v>
      </c>
    </row>
    <row r="15" spans="1:8" x14ac:dyDescent="0.25">
      <c r="A15" t="s">
        <v>178</v>
      </c>
      <c r="B15">
        <v>34</v>
      </c>
      <c r="C15">
        <v>37.819190979003913</v>
      </c>
      <c r="D15">
        <f t="shared" si="0"/>
        <v>3.8191909790039134</v>
      </c>
      <c r="E15" t="str">
        <f t="shared" si="1"/>
        <v/>
      </c>
      <c r="F15">
        <v>1</v>
      </c>
      <c r="G15" s="2">
        <v>1.5</v>
      </c>
      <c r="H15" t="s">
        <v>216</v>
      </c>
    </row>
    <row r="16" spans="1:8" x14ac:dyDescent="0.25">
      <c r="A16" t="s">
        <v>179</v>
      </c>
      <c r="B16">
        <v>20</v>
      </c>
      <c r="C16">
        <v>32.467517852783203</v>
      </c>
      <c r="D16">
        <f t="shared" si="0"/>
        <v>12.467517852783203</v>
      </c>
      <c r="E16">
        <f t="shared" si="1"/>
        <v>0.580841064453125</v>
      </c>
      <c r="F16">
        <v>2</v>
      </c>
      <c r="G16" s="2">
        <v>1.5</v>
      </c>
      <c r="H16" t="s">
        <v>217</v>
      </c>
    </row>
    <row r="17" spans="1:8" x14ac:dyDescent="0.25">
      <c r="A17" t="s">
        <v>180</v>
      </c>
      <c r="B17">
        <v>20</v>
      </c>
      <c r="C17">
        <v>33.048358917236328</v>
      </c>
      <c r="D17">
        <f t="shared" si="0"/>
        <v>13.048358917236328</v>
      </c>
      <c r="E17" t="str">
        <f t="shared" si="1"/>
        <v/>
      </c>
      <c r="F17">
        <v>2</v>
      </c>
      <c r="G17" s="2">
        <v>1.5</v>
      </c>
      <c r="H17" t="s">
        <v>217</v>
      </c>
    </row>
    <row r="18" spans="1:8" x14ac:dyDescent="0.25">
      <c r="A18" t="s">
        <v>181</v>
      </c>
      <c r="B18">
        <v>20</v>
      </c>
      <c r="C18">
        <v>32.107582092285163</v>
      </c>
      <c r="D18">
        <f t="shared" si="0"/>
        <v>12.107582092285163</v>
      </c>
      <c r="E18">
        <f t="shared" si="1"/>
        <v>0.42179107666014914</v>
      </c>
      <c r="F18">
        <v>2</v>
      </c>
      <c r="G18" s="2">
        <v>1.5</v>
      </c>
      <c r="H18" t="s">
        <v>218</v>
      </c>
    </row>
    <row r="19" spans="1:8" x14ac:dyDescent="0.25">
      <c r="A19" t="s">
        <v>182</v>
      </c>
      <c r="B19">
        <v>20</v>
      </c>
      <c r="C19">
        <v>32.529373168945313</v>
      </c>
      <c r="D19">
        <f t="shared" si="0"/>
        <v>12.529373168945313</v>
      </c>
      <c r="E19" t="str">
        <f t="shared" si="1"/>
        <v/>
      </c>
      <c r="F19">
        <v>2</v>
      </c>
      <c r="G19" s="2">
        <v>1.5</v>
      </c>
      <c r="H19" t="s">
        <v>218</v>
      </c>
    </row>
    <row r="20" spans="1:8" x14ac:dyDescent="0.25">
      <c r="A20" t="s">
        <v>183</v>
      </c>
      <c r="B20">
        <v>21</v>
      </c>
      <c r="C20">
        <v>33.704265594482422</v>
      </c>
      <c r="D20">
        <f t="shared" si="0"/>
        <v>12.704265594482422</v>
      </c>
      <c r="E20">
        <f t="shared" si="1"/>
        <v>0.12154006958007813</v>
      </c>
      <c r="F20">
        <v>2</v>
      </c>
      <c r="G20" s="2">
        <v>1.5</v>
      </c>
      <c r="H20" t="s">
        <v>219</v>
      </c>
    </row>
    <row r="21" spans="1:8" x14ac:dyDescent="0.25">
      <c r="A21" t="s">
        <v>184</v>
      </c>
      <c r="B21">
        <v>21</v>
      </c>
      <c r="C21">
        <v>33.8258056640625</v>
      </c>
      <c r="D21">
        <f t="shared" si="0"/>
        <v>12.8258056640625</v>
      </c>
      <c r="E21" t="str">
        <f t="shared" si="1"/>
        <v/>
      </c>
      <c r="F21">
        <v>2</v>
      </c>
      <c r="G21" s="2">
        <v>1.5</v>
      </c>
      <c r="H21" t="s">
        <v>219</v>
      </c>
    </row>
    <row r="22" spans="1:8" x14ac:dyDescent="0.25">
      <c r="A22" t="s">
        <v>185</v>
      </c>
      <c r="B22">
        <v>23</v>
      </c>
      <c r="C22">
        <v>32.120437622070313</v>
      </c>
      <c r="D22">
        <f t="shared" si="0"/>
        <v>9.1204376220703125</v>
      </c>
      <c r="E22">
        <f t="shared" si="1"/>
        <v>0.43798446655273438</v>
      </c>
      <c r="F22">
        <v>2</v>
      </c>
      <c r="G22" s="2">
        <v>1.5</v>
      </c>
      <c r="H22" t="s">
        <v>220</v>
      </c>
    </row>
    <row r="23" spans="1:8" x14ac:dyDescent="0.25">
      <c r="A23" t="s">
        <v>186</v>
      </c>
      <c r="B23">
        <v>23</v>
      </c>
      <c r="C23">
        <v>32.558422088623047</v>
      </c>
      <c r="D23">
        <f t="shared" si="0"/>
        <v>9.5584220886230469</v>
      </c>
      <c r="E23" t="str">
        <f t="shared" si="1"/>
        <v/>
      </c>
      <c r="F23">
        <v>2</v>
      </c>
      <c r="G23" s="2">
        <v>1.5</v>
      </c>
      <c r="H23" t="s">
        <v>220</v>
      </c>
    </row>
    <row r="24" spans="1:8" x14ac:dyDescent="0.25">
      <c r="A24" t="s">
        <v>187</v>
      </c>
      <c r="B24">
        <v>19</v>
      </c>
      <c r="C24">
        <v>33.889339447021477</v>
      </c>
      <c r="D24">
        <f t="shared" si="0"/>
        <v>14.889339447021477</v>
      </c>
      <c r="E24">
        <f t="shared" si="1"/>
        <v>2.3400726318359446</v>
      </c>
      <c r="F24">
        <v>2</v>
      </c>
      <c r="G24" s="2">
        <v>1.5</v>
      </c>
      <c r="H24" t="s">
        <v>221</v>
      </c>
    </row>
    <row r="25" spans="1:8" x14ac:dyDescent="0.25">
      <c r="A25" t="s">
        <v>188</v>
      </c>
      <c r="B25">
        <v>19</v>
      </c>
      <c r="C25">
        <v>36.229412078857422</v>
      </c>
      <c r="D25">
        <f t="shared" si="0"/>
        <v>17.229412078857422</v>
      </c>
      <c r="E25" t="str">
        <f t="shared" si="1"/>
        <v/>
      </c>
      <c r="F25">
        <v>2</v>
      </c>
      <c r="G25" s="2">
        <v>1.5</v>
      </c>
      <c r="H25" t="s">
        <v>221</v>
      </c>
    </row>
    <row r="26" spans="1:8" x14ac:dyDescent="0.25">
      <c r="A26" t="s">
        <v>189</v>
      </c>
      <c r="B26">
        <v>20</v>
      </c>
      <c r="C26">
        <v>29.251325607299801</v>
      </c>
      <c r="D26">
        <f t="shared" si="0"/>
        <v>9.2513256072998011</v>
      </c>
      <c r="E26">
        <f t="shared" si="1"/>
        <v>1.7362976074218786</v>
      </c>
      <c r="F26">
        <v>2</v>
      </c>
      <c r="G26" s="2">
        <v>1.5</v>
      </c>
      <c r="H26" t="s">
        <v>222</v>
      </c>
    </row>
    <row r="27" spans="1:8" x14ac:dyDescent="0.25">
      <c r="A27" t="s">
        <v>190</v>
      </c>
      <c r="B27">
        <v>20</v>
      </c>
      <c r="C27">
        <v>30.98762321472168</v>
      </c>
      <c r="D27">
        <f t="shared" si="0"/>
        <v>10.98762321472168</v>
      </c>
      <c r="E27" t="str">
        <f t="shared" si="1"/>
        <v/>
      </c>
      <c r="F27">
        <v>2</v>
      </c>
      <c r="G27" s="2">
        <v>1.5</v>
      </c>
      <c r="H27" t="s">
        <v>222</v>
      </c>
    </row>
    <row r="28" spans="1:8" x14ac:dyDescent="0.25">
      <c r="A28" t="s">
        <v>191</v>
      </c>
      <c r="B28">
        <v>29</v>
      </c>
      <c r="C28">
        <v>37.246273040771477</v>
      </c>
      <c r="D28">
        <f t="shared" si="0"/>
        <v>8.2462730407714773</v>
      </c>
      <c r="E28">
        <f t="shared" si="1"/>
        <v>9.1598510742194605E-2</v>
      </c>
      <c r="F28">
        <v>2</v>
      </c>
      <c r="G28" s="2">
        <v>1.5</v>
      </c>
      <c r="H28" t="s">
        <v>223</v>
      </c>
    </row>
    <row r="29" spans="1:8" x14ac:dyDescent="0.25">
      <c r="A29" t="s">
        <v>192</v>
      </c>
      <c r="B29">
        <v>29</v>
      </c>
      <c r="C29">
        <v>37.337871551513672</v>
      </c>
      <c r="D29">
        <f t="shared" si="0"/>
        <v>8.3378715515136719</v>
      </c>
      <c r="E29" t="str">
        <f t="shared" si="1"/>
        <v/>
      </c>
      <c r="F29">
        <v>2</v>
      </c>
      <c r="G29" s="2">
        <v>1.5</v>
      </c>
      <c r="H29" t="s">
        <v>223</v>
      </c>
    </row>
    <row r="30" spans="1:8" x14ac:dyDescent="0.25">
      <c r="A30" t="s">
        <v>193</v>
      </c>
      <c r="B30">
        <v>28</v>
      </c>
      <c r="C30">
        <v>32.433727264404297</v>
      </c>
      <c r="D30">
        <f t="shared" si="0"/>
        <v>4.4337272644042969</v>
      </c>
      <c r="E30">
        <f t="shared" si="1"/>
        <v>0.43109130859375</v>
      </c>
      <c r="F30">
        <v>2</v>
      </c>
      <c r="G30" s="2">
        <v>1.5</v>
      </c>
      <c r="H30" t="s">
        <v>224</v>
      </c>
    </row>
    <row r="31" spans="1:8" x14ac:dyDescent="0.25">
      <c r="A31" t="s">
        <v>194</v>
      </c>
      <c r="B31">
        <v>28</v>
      </c>
      <c r="C31">
        <v>32.002635955810547</v>
      </c>
      <c r="D31">
        <f t="shared" si="0"/>
        <v>4.0026359558105469</v>
      </c>
      <c r="E31" t="str">
        <f t="shared" si="1"/>
        <v/>
      </c>
      <c r="F31">
        <v>2</v>
      </c>
      <c r="G31" s="2">
        <v>1.5</v>
      </c>
      <c r="H31" t="s">
        <v>224</v>
      </c>
    </row>
    <row r="32" spans="1:8" x14ac:dyDescent="0.25">
      <c r="A32" t="s">
        <v>195</v>
      </c>
      <c r="B32">
        <v>20</v>
      </c>
      <c r="C32">
        <v>28.90606689453125</v>
      </c>
      <c r="D32">
        <f t="shared" si="0"/>
        <v>8.90606689453125</v>
      </c>
      <c r="E32">
        <f t="shared" si="1"/>
        <v>0.44292068481444957</v>
      </c>
      <c r="F32">
        <v>1</v>
      </c>
      <c r="G32" s="2">
        <v>1.5</v>
      </c>
      <c r="H32" t="s">
        <v>225</v>
      </c>
    </row>
    <row r="33" spans="1:8" x14ac:dyDescent="0.25">
      <c r="A33" t="s">
        <v>196</v>
      </c>
      <c r="B33">
        <v>20</v>
      </c>
      <c r="C33">
        <v>29.3489875793457</v>
      </c>
      <c r="D33">
        <f t="shared" si="0"/>
        <v>9.3489875793456996</v>
      </c>
      <c r="E33" t="str">
        <f t="shared" si="1"/>
        <v/>
      </c>
      <c r="F33">
        <v>1</v>
      </c>
      <c r="G33" s="2">
        <v>1.5</v>
      </c>
      <c r="H33" t="s">
        <v>225</v>
      </c>
    </row>
    <row r="34" spans="1:8" x14ac:dyDescent="0.25">
      <c r="A34" t="s">
        <v>197</v>
      </c>
      <c r="B34">
        <v>22</v>
      </c>
      <c r="C34">
        <v>33.611820220947273</v>
      </c>
      <c r="D34">
        <f t="shared" si="0"/>
        <v>11.611820220947273</v>
      </c>
      <c r="E34">
        <f t="shared" si="1"/>
        <v>0.52694320678710938</v>
      </c>
      <c r="F34">
        <v>1</v>
      </c>
      <c r="G34" s="2">
        <v>1.5</v>
      </c>
      <c r="H34" t="s">
        <v>226</v>
      </c>
    </row>
    <row r="35" spans="1:8" x14ac:dyDescent="0.25">
      <c r="A35" t="s">
        <v>198</v>
      </c>
      <c r="B35">
        <v>22</v>
      </c>
      <c r="C35">
        <v>33.084877014160163</v>
      </c>
      <c r="D35">
        <f t="shared" si="0"/>
        <v>11.084877014160163</v>
      </c>
      <c r="E35" t="str">
        <f t="shared" si="1"/>
        <v/>
      </c>
      <c r="F35">
        <v>1</v>
      </c>
      <c r="G35" s="2">
        <v>1.5</v>
      </c>
      <c r="H35" t="s">
        <v>226</v>
      </c>
    </row>
    <row r="36" spans="1:8" x14ac:dyDescent="0.25">
      <c r="A36" t="s">
        <v>199</v>
      </c>
      <c r="B36">
        <v>22</v>
      </c>
      <c r="C36">
        <v>31.71298980712891</v>
      </c>
      <c r="D36">
        <f t="shared" si="0"/>
        <v>9.7129898071289098</v>
      </c>
      <c r="E36">
        <f t="shared" si="1"/>
        <v>1.2030868530273509</v>
      </c>
      <c r="F36">
        <v>1</v>
      </c>
      <c r="G36" s="2">
        <v>1.5</v>
      </c>
      <c r="H36" t="s">
        <v>227</v>
      </c>
    </row>
    <row r="37" spans="1:8" x14ac:dyDescent="0.25">
      <c r="A37" t="s">
        <v>200</v>
      </c>
      <c r="B37">
        <v>22</v>
      </c>
      <c r="C37">
        <v>30.509902954101559</v>
      </c>
      <c r="D37">
        <f t="shared" si="0"/>
        <v>8.5099029541015589</v>
      </c>
      <c r="E37" t="str">
        <f t="shared" si="1"/>
        <v/>
      </c>
      <c r="F37">
        <v>1</v>
      </c>
      <c r="G37" s="2">
        <v>1.5</v>
      </c>
      <c r="H37" t="s">
        <v>227</v>
      </c>
    </row>
    <row r="38" spans="1:8" x14ac:dyDescent="0.25">
      <c r="A38" t="s">
        <v>201</v>
      </c>
      <c r="B38">
        <v>20</v>
      </c>
      <c r="C38">
        <v>32.497104644775391</v>
      </c>
      <c r="D38">
        <f t="shared" si="0"/>
        <v>12.497104644775391</v>
      </c>
      <c r="E38">
        <f t="shared" si="1"/>
        <v>2.7471351623535227</v>
      </c>
      <c r="F38">
        <v>2</v>
      </c>
      <c r="G38" s="2">
        <v>1.5</v>
      </c>
      <c r="H38" t="s">
        <v>228</v>
      </c>
    </row>
    <row r="39" spans="1:8" x14ac:dyDescent="0.25">
      <c r="A39" t="s">
        <v>202</v>
      </c>
      <c r="B39">
        <v>20</v>
      </c>
      <c r="C39">
        <v>35.244239807128913</v>
      </c>
      <c r="D39">
        <f t="shared" si="0"/>
        <v>15.244239807128913</v>
      </c>
      <c r="E39" t="str">
        <f t="shared" si="1"/>
        <v/>
      </c>
      <c r="F39">
        <v>2</v>
      </c>
      <c r="G39" s="2">
        <v>1.5</v>
      </c>
      <c r="H39" t="s">
        <v>228</v>
      </c>
    </row>
    <row r="40" spans="1:8" x14ac:dyDescent="0.25">
      <c r="A40" t="s">
        <v>203</v>
      </c>
      <c r="B40">
        <v>26</v>
      </c>
      <c r="C40">
        <v>36.639087677001953</v>
      </c>
      <c r="D40">
        <f>ABS(C40-B40)</f>
        <v>10.639087677001953</v>
      </c>
      <c r="E40">
        <f t="shared" si="1"/>
        <v>0.82489013671875</v>
      </c>
      <c r="F40">
        <v>2</v>
      </c>
      <c r="G40" s="2">
        <v>1.5</v>
      </c>
      <c r="H40" t="s">
        <v>229</v>
      </c>
    </row>
    <row r="41" spans="1:8" x14ac:dyDescent="0.25">
      <c r="A41" t="s">
        <v>204</v>
      </c>
      <c r="B41">
        <v>26</v>
      </c>
      <c r="C41">
        <v>35.814197540283203</v>
      </c>
      <c r="D41">
        <f>ABS(C41-B41)</f>
        <v>9.8141975402832031</v>
      </c>
      <c r="E41" t="str">
        <f t="shared" si="1"/>
        <v/>
      </c>
      <c r="F41">
        <v>2</v>
      </c>
      <c r="G41" s="2">
        <v>1.5</v>
      </c>
      <c r="H41" t="s">
        <v>229</v>
      </c>
    </row>
  </sheetData>
  <phoneticPr fontId="2" type="noConversion"/>
  <conditionalFormatting sqref="E2:E41">
    <cfRule type="cellIs" dxfId="0" priority="1" operator="between">
      <formula>1000</formula>
      <formula>6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Maclaren_T1</vt:lpstr>
      <vt:lpstr>Maclaren_T1_B0</vt:lpstr>
      <vt:lpstr>Maclaren_T1_SEX</vt:lpstr>
      <vt:lpstr>Maclaren_T1_SEX_B0</vt:lpstr>
      <vt:lpstr>MMRR_T1</vt:lpstr>
      <vt:lpstr>MMRR_T1_B0</vt:lpstr>
      <vt:lpstr>MMRR_T1_SEX</vt:lpstr>
      <vt:lpstr>MMRR_T1_SEX_B0</vt:lpstr>
      <vt:lpstr>OAS1_T1</vt:lpstr>
      <vt:lpstr>OAS1_T1_B0</vt:lpstr>
      <vt:lpstr>OAS1_T1_SEX</vt:lpstr>
      <vt:lpstr>OAS1_T1_SEX_B0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Ying-Zhu Weng</cp:lastModifiedBy>
  <dcterms:created xsi:type="dcterms:W3CDTF">2026-10-06T09:25:28Z</dcterms:created>
  <dcterms:modified xsi:type="dcterms:W3CDTF">2026-10-08T09:49:23Z</dcterms:modified>
</cp:coreProperties>
</file>