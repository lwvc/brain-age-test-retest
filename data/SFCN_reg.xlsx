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b\result\data\"/>
    </mc:Choice>
  </mc:AlternateContent>
  <xr:revisionPtr revIDLastSave="0" documentId="13_ncr:1_{78255153-4634-4F22-88B6-15767A3FC11E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Maclaren_T1WI" sheetId="1" r:id="rId1"/>
    <sheet name="MMRR_T1WI" sheetId="2" r:id="rId2"/>
    <sheet name="OAS1_T1WI" sheetId="3" r:id="rId3"/>
    <sheet name="Maclaren_GMP" sheetId="4" r:id="rId4"/>
    <sheet name="MMRR_GMP" sheetId="5" r:id="rId5"/>
    <sheet name="OAS1_GMP" sheetId="6" r:id="rId6"/>
    <sheet name="Maclaren_WMP" sheetId="7" r:id="rId7"/>
    <sheet name="MMRR_WMP" sheetId="8" r:id="rId8"/>
    <sheet name="OAS1_WMP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2" i="1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2" i="7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2" i="5"/>
  <c r="D2" i="8"/>
  <c r="D2" i="2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E2" i="9"/>
  <c r="D2" i="9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</calcChain>
</file>

<file path=xl/sharedStrings.xml><?xml version="1.0" encoding="utf-8"?>
<sst xmlns="http://schemas.openxmlformats.org/spreadsheetml/2006/main" count="798" uniqueCount="233">
  <si>
    <t>Subject ID</t>
  </si>
  <si>
    <t>True Age</t>
  </si>
  <si>
    <t>Predicted Age</t>
  </si>
  <si>
    <t>sub-01_run-01</t>
  </si>
  <si>
    <t>sub-01_run-02</t>
  </si>
  <si>
    <t>sub-01_run-03</t>
  </si>
  <si>
    <t>sub-01_run-04</t>
  </si>
  <si>
    <t>sub-01_run-05</t>
  </si>
  <si>
    <t>sub-01_run-06</t>
  </si>
  <si>
    <t>sub-01_run-07</t>
  </si>
  <si>
    <t>sub-01_run-08</t>
  </si>
  <si>
    <t>sub-01_run-09</t>
  </si>
  <si>
    <t>sub-01_run-10</t>
  </si>
  <si>
    <t>sub-01_run-11</t>
  </si>
  <si>
    <t>sub-01_run-12</t>
  </si>
  <si>
    <t>sub-01_run-13</t>
  </si>
  <si>
    <t>sub-01_run-14</t>
  </si>
  <si>
    <t>sub-01_run-15</t>
  </si>
  <si>
    <t>sub-01_run-16</t>
  </si>
  <si>
    <t>sub-01_run-17</t>
  </si>
  <si>
    <t>sub-01_run-18</t>
  </si>
  <si>
    <t>sub-01_run-19</t>
  </si>
  <si>
    <t>sub-01_run-20</t>
  </si>
  <si>
    <t>sub-01_run-21</t>
  </si>
  <si>
    <t>sub-01_run-22</t>
  </si>
  <si>
    <t>sub-01_run-23</t>
  </si>
  <si>
    <t>sub-01_run-24</t>
  </si>
  <si>
    <t>sub-01_run-25</t>
  </si>
  <si>
    <t>sub-01_run-26</t>
  </si>
  <si>
    <t>sub-01_run-27</t>
  </si>
  <si>
    <t>sub-01_run-28</t>
  </si>
  <si>
    <t>sub-01_run-29</t>
  </si>
  <si>
    <t>sub-01_run-30</t>
  </si>
  <si>
    <t>sub-01_run-31</t>
  </si>
  <si>
    <t>sub-01_run-32</t>
  </si>
  <si>
    <t>sub-01_run-33</t>
  </si>
  <si>
    <t>sub-01_run-34</t>
  </si>
  <si>
    <t>sub-01_run-35</t>
  </si>
  <si>
    <t>sub-01_run-36</t>
  </si>
  <si>
    <t>sub-01_run-37</t>
  </si>
  <si>
    <t>sub-01_run-38</t>
  </si>
  <si>
    <t>sub-01_run-39</t>
  </si>
  <si>
    <t>sub-01_run-40</t>
  </si>
  <si>
    <t>sub-02_run-01</t>
  </si>
  <si>
    <t>sub-02_run-02</t>
  </si>
  <si>
    <t>sub-02_run-03</t>
  </si>
  <si>
    <t>sub-02_run-04</t>
  </si>
  <si>
    <t>sub-02_run-05</t>
  </si>
  <si>
    <t>sub-02_run-06</t>
  </si>
  <si>
    <t>sub-02_run-07</t>
  </si>
  <si>
    <t>sub-02_run-08</t>
  </si>
  <si>
    <t>sub-02_run-09</t>
  </si>
  <si>
    <t>sub-02_run-10</t>
  </si>
  <si>
    <t>sub-02_run-11</t>
  </si>
  <si>
    <t>sub-02_run-12</t>
  </si>
  <si>
    <t>sub-02_run-13</t>
  </si>
  <si>
    <t>sub-02_run-14</t>
  </si>
  <si>
    <t>sub-02_run-15</t>
  </si>
  <si>
    <t>sub-02_run-16</t>
  </si>
  <si>
    <t>sub-02_run-17</t>
  </si>
  <si>
    <t>sub-02_run-18</t>
  </si>
  <si>
    <t>sub-02_run-19</t>
  </si>
  <si>
    <t>sub-02_run-20</t>
  </si>
  <si>
    <t>sub-02_run-21</t>
  </si>
  <si>
    <t>sub-02_run-22</t>
  </si>
  <si>
    <t>sub-02_run-23</t>
  </si>
  <si>
    <t>sub-02_run-24</t>
  </si>
  <si>
    <t>sub-02_run-25</t>
  </si>
  <si>
    <t>sub-02_run-26</t>
  </si>
  <si>
    <t>sub-02_run-27</t>
  </si>
  <si>
    <t>sub-02_run-28</t>
  </si>
  <si>
    <t>sub-02_run-29</t>
  </si>
  <si>
    <t>sub-02_run-30</t>
  </si>
  <si>
    <t>sub-02_run-31</t>
  </si>
  <si>
    <t>sub-02_run-32</t>
  </si>
  <si>
    <t>sub-02_run-33</t>
  </si>
  <si>
    <t>sub-02_run-34</t>
  </si>
  <si>
    <t>sub-02_run-35</t>
  </si>
  <si>
    <t>sub-02_run-36</t>
  </si>
  <si>
    <t>sub-02_run-37</t>
  </si>
  <si>
    <t>sub-02_run-38</t>
  </si>
  <si>
    <t>sub-02_run-39</t>
  </si>
  <si>
    <t>sub-02_run-40</t>
  </si>
  <si>
    <t>sub-03_run-01</t>
  </si>
  <si>
    <t>sub-03_run-02</t>
  </si>
  <si>
    <t>sub-03_run-03</t>
  </si>
  <si>
    <t>sub-03_run-04</t>
  </si>
  <si>
    <t>sub-03_run-05</t>
  </si>
  <si>
    <t>sub-03_run-06</t>
  </si>
  <si>
    <t>sub-03_run-07</t>
  </si>
  <si>
    <t>sub-03_run-08</t>
  </si>
  <si>
    <t>sub-03_run-09</t>
  </si>
  <si>
    <t>sub-03_run-10</t>
  </si>
  <si>
    <t>sub-03_run-11</t>
  </si>
  <si>
    <t>sub-03_run-12</t>
  </si>
  <si>
    <t>sub-03_run-13</t>
  </si>
  <si>
    <t>sub-03_run-14</t>
  </si>
  <si>
    <t>sub-03_run-15</t>
  </si>
  <si>
    <t>sub-03_run-16</t>
  </si>
  <si>
    <t>sub-03_run-17</t>
  </si>
  <si>
    <t>sub-03_run-18</t>
  </si>
  <si>
    <t>sub-03_run-19</t>
  </si>
  <si>
    <t>sub-03_run-20</t>
  </si>
  <si>
    <t>sub-03_run-21</t>
  </si>
  <si>
    <t>sub-03_run-22</t>
  </si>
  <si>
    <t>sub-03_run-23</t>
  </si>
  <si>
    <t>sub-03_run-24</t>
  </si>
  <si>
    <t>sub-03_run-25</t>
  </si>
  <si>
    <t>sub-03_run-26</t>
  </si>
  <si>
    <t>sub-03_run-27</t>
  </si>
  <si>
    <t>sub-03_run-28</t>
  </si>
  <si>
    <t>sub-03_run-29</t>
  </si>
  <si>
    <t>sub-03_run-30</t>
  </si>
  <si>
    <t>sub-03_run-31</t>
  </si>
  <si>
    <t>sub-03_run-32</t>
  </si>
  <si>
    <t>sub-03_run-33</t>
  </si>
  <si>
    <t>sub-03_run-34</t>
  </si>
  <si>
    <t>sub-03_run-35</t>
  </si>
  <si>
    <t>sub-03_run-36</t>
  </si>
  <si>
    <t>sub-03_run-37</t>
  </si>
  <si>
    <t>sub-03_run-38</t>
  </si>
  <si>
    <t>sub-03_run-39</t>
  </si>
  <si>
    <t>sub-03_run-40</t>
  </si>
  <si>
    <t>sub_113_30</t>
  </si>
  <si>
    <t>sub_113_33</t>
  </si>
  <si>
    <t>sub_127_7</t>
  </si>
  <si>
    <t>sub_127_34</t>
  </si>
  <si>
    <t>sub_142_6</t>
  </si>
  <si>
    <t>sub_142_20</t>
  </si>
  <si>
    <t>sub_239_12</t>
  </si>
  <si>
    <t>sub_239_19</t>
  </si>
  <si>
    <t>sub_346_39</t>
  </si>
  <si>
    <t>sub_346_41</t>
  </si>
  <si>
    <t>sub_422_9</t>
  </si>
  <si>
    <t>sub_422_42</t>
  </si>
  <si>
    <t>sub_492_18</t>
  </si>
  <si>
    <t>sub_492_38</t>
  </si>
  <si>
    <t>sub_502_32</t>
  </si>
  <si>
    <t>sub_502_36</t>
  </si>
  <si>
    <t>sub_505_16</t>
  </si>
  <si>
    <t>sub_505_35</t>
  </si>
  <si>
    <t>sub_656_28</t>
  </si>
  <si>
    <t>sub_656_40</t>
  </si>
  <si>
    <t>sub_679_3</t>
  </si>
  <si>
    <t>sub_679_22</t>
  </si>
  <si>
    <t>sub_742_8</t>
  </si>
  <si>
    <t>sub_742_29</t>
  </si>
  <si>
    <t>sub_800_23</t>
  </si>
  <si>
    <t>sub_800_27</t>
  </si>
  <si>
    <t>sub_814_15</t>
  </si>
  <si>
    <t>sub_814_26</t>
  </si>
  <si>
    <t>sub_815_10</t>
  </si>
  <si>
    <t>sub_815_21</t>
  </si>
  <si>
    <t>sub_849_1</t>
  </si>
  <si>
    <t>sub_849_25</t>
  </si>
  <si>
    <t>sub_906_4</t>
  </si>
  <si>
    <t>sub_906_11</t>
  </si>
  <si>
    <t>sub_913_5</t>
  </si>
  <si>
    <t>sub_913_31</t>
  </si>
  <si>
    <t>sub_916_13</t>
  </si>
  <si>
    <t>sub_916_24</t>
  </si>
  <si>
    <t>sub_934_2</t>
  </si>
  <si>
    <t>sub_934_37</t>
  </si>
  <si>
    <t>sub_959_14</t>
  </si>
  <si>
    <t>sub_959_17</t>
  </si>
  <si>
    <t>OAS1_0061_MR1</t>
  </si>
  <si>
    <t>OAS1_0061_MR2</t>
  </si>
  <si>
    <t>OAS1_0080_MR1</t>
  </si>
  <si>
    <t>OAS1_0080_MR2</t>
  </si>
  <si>
    <t>OAS1_0092_MR1</t>
  </si>
  <si>
    <t>OAS1_0092_MR2</t>
  </si>
  <si>
    <t>OAS1_0101_MR1</t>
  </si>
  <si>
    <t>OAS1_0101_MR2</t>
  </si>
  <si>
    <t>OAS1_0111_MR1</t>
  </si>
  <si>
    <t>OAS1_0111_MR2</t>
  </si>
  <si>
    <t>OAS1_0117_MR1</t>
  </si>
  <si>
    <t>OAS1_0117_MR2</t>
  </si>
  <si>
    <t>OAS1_0145_MR1</t>
  </si>
  <si>
    <t>OAS1_0145_MR2</t>
  </si>
  <si>
    <t>OAS1_0150_MR1</t>
  </si>
  <si>
    <t>OAS1_0150_MR2</t>
  </si>
  <si>
    <t>OAS1_0156_MR1</t>
  </si>
  <si>
    <t>OAS1_0156_MR2</t>
  </si>
  <si>
    <t>OAS1_0191_MR1</t>
  </si>
  <si>
    <t>OAS1_0191_MR2</t>
  </si>
  <si>
    <t>OAS1_0202_MR1</t>
  </si>
  <si>
    <t>OAS1_0202_MR2</t>
  </si>
  <si>
    <t>OAS1_0230_MR1</t>
  </si>
  <si>
    <t>OAS1_0230_MR2</t>
  </si>
  <si>
    <t>OAS1_0236_MR1</t>
  </si>
  <si>
    <t>OAS1_0236_MR2</t>
  </si>
  <si>
    <t>OAS1_0239_MR1</t>
  </si>
  <si>
    <t>OAS1_0239_MR2</t>
  </si>
  <si>
    <t>OAS1_0249_MR1</t>
  </si>
  <si>
    <t>OAS1_0249_MR2</t>
  </si>
  <si>
    <t>OAS1_0285_MR1</t>
  </si>
  <si>
    <t>OAS1_0285_MR2</t>
  </si>
  <si>
    <t>OAS1_0353_MR1</t>
  </si>
  <si>
    <t>OAS1_0353_MR2</t>
  </si>
  <si>
    <t>OAS1_0368_MR1</t>
  </si>
  <si>
    <t>OAS1_0368_MR2</t>
  </si>
  <si>
    <t>OAS1_0379_MR1</t>
  </si>
  <si>
    <t>OAS1_0379_MR2</t>
  </si>
  <si>
    <t>OAS1_0395_MR1</t>
  </si>
  <si>
    <t>OAS1_0395_MR2</t>
  </si>
  <si>
    <t>MAD</t>
    <phoneticPr fontId="2" type="noConversion"/>
  </si>
  <si>
    <t>OAS1_0145_MR1</t>
    <phoneticPr fontId="2" type="noConversion"/>
  </si>
  <si>
    <t>MAE</t>
    <phoneticPr fontId="2" type="noConversion"/>
  </si>
  <si>
    <t>Sex (1=Male, 2=Female)</t>
    <phoneticPr fontId="3" type="noConversion"/>
  </si>
  <si>
    <t>Scanner</t>
  </si>
  <si>
    <t>pair</t>
    <phoneticPr fontId="2" type="noConversion"/>
  </si>
  <si>
    <t>OAS1_0061</t>
  </si>
  <si>
    <t>OAS1_0080</t>
  </si>
  <si>
    <t>OAS1_0092</t>
  </si>
  <si>
    <t>OAS1_0101</t>
  </si>
  <si>
    <t>OAS1_0111</t>
  </si>
  <si>
    <t>OAS1_0117</t>
  </si>
  <si>
    <t>OAS1_0145</t>
  </si>
  <si>
    <t>OAS1_0150</t>
  </si>
  <si>
    <t>OAS1_0156</t>
  </si>
  <si>
    <t>OAS1_0191</t>
  </si>
  <si>
    <t>OAS1_0202</t>
  </si>
  <si>
    <t>OAS1_0230</t>
  </si>
  <si>
    <t>OAS1_0236</t>
  </si>
  <si>
    <t>OAS1_0239</t>
  </si>
  <si>
    <t>OAS1_0249</t>
  </si>
  <si>
    <t>OAS1_0285</t>
  </si>
  <si>
    <t>OAS1_0353</t>
  </si>
  <si>
    <t>OAS1_0368</t>
  </si>
  <si>
    <t>OAS1_0379</t>
  </si>
  <si>
    <t>OAS1_0395</t>
  </si>
  <si>
    <t>Sex (1=Male, 2=Female)</t>
    <phoneticPr fontId="2" type="noConversion"/>
  </si>
  <si>
    <t>Scanner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</si>
</sst>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/>
    </xf>
  </cellXfs>
  <cellStyles count="1">
    <cellStyle name="一般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opLeftCell="A105" workbookViewId="0">
      <selection activeCell="D122" sqref="D122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231</v>
      </c>
      <c r="G1" s="1" t="s">
        <v>232</v>
      </c>
      <c r="H1" s="1" t="s">
        <v>210</v>
      </c>
    </row>
    <row r="2" spans="1:8" ht="16.5" x14ac:dyDescent="0.25">
      <c r="A2" t="s">
        <v>3</v>
      </c>
      <c r="B2">
        <v>26</v>
      </c>
      <c r="C2">
        <v>23.488588333129879</v>
      </c>
      <c r="D2">
        <f>ABS(C2-B2)</f>
        <v>2.5114116668701207</v>
      </c>
      <c r="E2">
        <f>IF(MOD(ROW(),2)=0,ABS(C2-C3),"")</f>
        <v>2.0464420318603516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25.535030364990231</v>
      </c>
      <c r="D3">
        <f t="shared" ref="D3:D66" si="0">ABS(C3-B3)</f>
        <v>0.46496963500976918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24.94156455993652</v>
      </c>
      <c r="D4">
        <f t="shared" si="0"/>
        <v>1.0584354400634801</v>
      </c>
      <c r="E4">
        <f t="shared" si="1"/>
        <v>2.0209922790527308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22.920572280883789</v>
      </c>
      <c r="D5">
        <f t="shared" si="0"/>
        <v>3.0794277191162109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25.06053352355957</v>
      </c>
      <c r="D6">
        <f t="shared" si="0"/>
        <v>0.93946647644042969</v>
      </c>
      <c r="E6">
        <f t="shared" si="1"/>
        <v>0.4909896850585902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24.56954383850098</v>
      </c>
      <c r="D7">
        <f t="shared" si="0"/>
        <v>1.4304561614990199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23.344490051269531</v>
      </c>
      <c r="D8">
        <f t="shared" si="0"/>
        <v>2.6555099487304688</v>
      </c>
      <c r="E8">
        <f t="shared" si="1"/>
        <v>1.4531917572021484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24.79768180847168</v>
      </c>
      <c r="D9">
        <f t="shared" si="0"/>
        <v>1.2023181915283203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24.114950180053711</v>
      </c>
      <c r="D10">
        <f t="shared" si="0"/>
        <v>1.8850498199462891</v>
      </c>
      <c r="E10">
        <f t="shared" si="1"/>
        <v>1.5460071563720703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25.660957336425781</v>
      </c>
      <c r="D11">
        <f t="shared" si="0"/>
        <v>0.33904266357421875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24.679805755615231</v>
      </c>
      <c r="D12">
        <f t="shared" si="0"/>
        <v>1.3201942443847692</v>
      </c>
      <c r="E12">
        <f t="shared" si="1"/>
        <v>1.2141819000244176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25.893987655639648</v>
      </c>
      <c r="D13">
        <f t="shared" si="0"/>
        <v>0.10601234436035156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22.91560173034668</v>
      </c>
      <c r="D14">
        <f t="shared" si="0"/>
        <v>3.0843982696533203</v>
      </c>
      <c r="E14">
        <f t="shared" si="1"/>
        <v>0.45171928405762074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22.463882446289059</v>
      </c>
      <c r="D15">
        <f t="shared" si="0"/>
        <v>3.5361175537109411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21.763759613037109</v>
      </c>
      <c r="D16">
        <f t="shared" si="0"/>
        <v>4.2362403869628906</v>
      </c>
      <c r="E16">
        <f t="shared" si="1"/>
        <v>1.1439075469970703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22.90766716003418</v>
      </c>
      <c r="D17">
        <f t="shared" si="0"/>
        <v>3.0923328399658203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24.000711441040039</v>
      </c>
      <c r="D18">
        <f t="shared" si="0"/>
        <v>1.9992885589599609</v>
      </c>
      <c r="E18">
        <f t="shared" si="1"/>
        <v>1.6085853576660192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22.39212608337402</v>
      </c>
      <c r="D19">
        <f t="shared" si="0"/>
        <v>3.6078739166259801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25.220859527587891</v>
      </c>
      <c r="D20">
        <f t="shared" si="0"/>
        <v>0.77914047241210938</v>
      </c>
      <c r="E20">
        <f t="shared" si="1"/>
        <v>2.3375205993652308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22.88333892822266</v>
      </c>
      <c r="D21">
        <f t="shared" si="0"/>
        <v>3.1166610717773402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23.589809417724609</v>
      </c>
      <c r="D22">
        <f t="shared" si="0"/>
        <v>2.4101905822753906</v>
      </c>
      <c r="E22">
        <f t="shared" si="1"/>
        <v>1.5068912506103516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25.096700668334961</v>
      </c>
      <c r="D23">
        <f t="shared" si="0"/>
        <v>0.90329933166503906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25.064617156982418</v>
      </c>
      <c r="D24">
        <f t="shared" si="0"/>
        <v>0.93538284301758168</v>
      </c>
      <c r="E24">
        <f t="shared" si="1"/>
        <v>0.95746803283690696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24.107149124145511</v>
      </c>
      <c r="D25">
        <f t="shared" si="0"/>
        <v>1.8928508758544886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22.94377326965332</v>
      </c>
      <c r="D26">
        <f t="shared" si="0"/>
        <v>3.0562267303466797</v>
      </c>
      <c r="E26">
        <f t="shared" si="1"/>
        <v>0.82232666015625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23.76609992980957</v>
      </c>
      <c r="D27">
        <f t="shared" si="0"/>
        <v>2.2339000701904297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23.88924598693848</v>
      </c>
      <c r="D28">
        <f t="shared" si="0"/>
        <v>2.1107540130615199</v>
      </c>
      <c r="E28">
        <f t="shared" si="1"/>
        <v>6.7646026611331678E-2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23.821599960327148</v>
      </c>
      <c r="D29">
        <f t="shared" si="0"/>
        <v>2.1784000396728516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23.821517944335941</v>
      </c>
      <c r="D30">
        <f t="shared" si="0"/>
        <v>2.1784820556640589</v>
      </c>
      <c r="E30">
        <f t="shared" si="1"/>
        <v>0.18734169006346946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24.008859634399411</v>
      </c>
      <c r="D31">
        <f t="shared" si="0"/>
        <v>1.9911403656005895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24.14826583862305</v>
      </c>
      <c r="D32">
        <f t="shared" si="0"/>
        <v>1.8517341613769496</v>
      </c>
      <c r="E32">
        <f t="shared" si="1"/>
        <v>0.51141166687011008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24.659677505493161</v>
      </c>
      <c r="D33">
        <f t="shared" si="0"/>
        <v>1.3403224945068395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25.121671676635739</v>
      </c>
      <c r="D34">
        <f t="shared" si="0"/>
        <v>0.87832832336426137</v>
      </c>
      <c r="E34">
        <f t="shared" si="1"/>
        <v>1.1258220672607386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23.995849609375</v>
      </c>
      <c r="D35">
        <f t="shared" si="0"/>
        <v>2.004150390625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23.24357795715332</v>
      </c>
      <c r="D36">
        <f t="shared" si="0"/>
        <v>2.7564220428466797</v>
      </c>
      <c r="E36">
        <f t="shared" si="1"/>
        <v>0.93212890625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24.17570686340332</v>
      </c>
      <c r="D37">
        <f t="shared" si="0"/>
        <v>1.8242931365966797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24.847993850708011</v>
      </c>
      <c r="D38">
        <f t="shared" si="0"/>
        <v>1.1520061492919886</v>
      </c>
      <c r="E38">
        <f t="shared" si="1"/>
        <v>0.67054557800292969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24.177448272705082</v>
      </c>
      <c r="D39">
        <f t="shared" si="0"/>
        <v>1.8225517272949183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25.278196334838871</v>
      </c>
      <c r="D40">
        <f t="shared" si="0"/>
        <v>0.72180366516112926</v>
      </c>
      <c r="E40">
        <f t="shared" si="1"/>
        <v>1.4355812072753906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23.84261512756348</v>
      </c>
      <c r="D41">
        <f t="shared" si="0"/>
        <v>2.1573848724365199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32.3861083984375</v>
      </c>
      <c r="D42">
        <f t="shared" si="0"/>
        <v>1.3861083984375</v>
      </c>
      <c r="E42">
        <f t="shared" si="1"/>
        <v>2.0887432098388707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30.297365188598629</v>
      </c>
      <c r="D43">
        <f t="shared" si="0"/>
        <v>0.70263481140137074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33.314002990722663</v>
      </c>
      <c r="D44">
        <f t="shared" si="0"/>
        <v>2.3140029907226634</v>
      </c>
      <c r="E44">
        <f t="shared" si="1"/>
        <v>2.2037944793701243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31.110208511352539</v>
      </c>
      <c r="D45">
        <f t="shared" si="0"/>
        <v>0.11020851135253906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32.895957946777337</v>
      </c>
      <c r="D46">
        <f t="shared" si="0"/>
        <v>1.8959579467773366</v>
      </c>
      <c r="E46">
        <f t="shared" si="1"/>
        <v>0.83573150634764914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32.060226440429688</v>
      </c>
      <c r="D47">
        <f t="shared" si="0"/>
        <v>1.0602264404296875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30.335969924926761</v>
      </c>
      <c r="D48">
        <f t="shared" si="0"/>
        <v>0.66403007507323863</v>
      </c>
      <c r="E48">
        <f t="shared" si="1"/>
        <v>1.0963134765625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31.432283401489261</v>
      </c>
      <c r="D49">
        <f t="shared" si="0"/>
        <v>0.43228340148926137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31.694353103637699</v>
      </c>
      <c r="D50">
        <f t="shared" si="0"/>
        <v>0.69435310363769887</v>
      </c>
      <c r="E50">
        <f t="shared" si="1"/>
        <v>0.18482589721680043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31.509527206420898</v>
      </c>
      <c r="D51">
        <f t="shared" si="0"/>
        <v>0.50952720642089844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33.413299560546882</v>
      </c>
      <c r="D52">
        <f t="shared" si="0"/>
        <v>2.4132995605468821</v>
      </c>
      <c r="E52">
        <f t="shared" si="1"/>
        <v>2.512071609497081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30.901227951049801</v>
      </c>
      <c r="D53">
        <f t="shared" si="0"/>
        <v>9.8772048950198865E-2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30.154794692993161</v>
      </c>
      <c r="D54">
        <f t="shared" si="0"/>
        <v>0.84520530700683949</v>
      </c>
      <c r="E54">
        <f t="shared" si="1"/>
        <v>2.1030979156494176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32.257892608642578</v>
      </c>
      <c r="D55">
        <f t="shared" si="0"/>
        <v>1.2578926086425781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31.989259719848629</v>
      </c>
      <c r="D56">
        <f t="shared" si="0"/>
        <v>0.98925971984862926</v>
      </c>
      <c r="E56">
        <f t="shared" si="1"/>
        <v>0.17189025878905895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31.81736946105957</v>
      </c>
      <c r="D57">
        <f t="shared" si="0"/>
        <v>0.81736946105957031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29.904047012329102</v>
      </c>
      <c r="D58">
        <f t="shared" si="0"/>
        <v>1.0959529876708984</v>
      </c>
      <c r="E58">
        <f t="shared" si="1"/>
        <v>1.2422714233398473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31.146318435668949</v>
      </c>
      <c r="D59">
        <f t="shared" si="0"/>
        <v>0.14631843566894887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31.411439895629879</v>
      </c>
      <c r="D60">
        <f t="shared" si="0"/>
        <v>0.41143989562987926</v>
      </c>
      <c r="E60">
        <f t="shared" si="1"/>
        <v>1.5091915130615341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32.920631408691413</v>
      </c>
      <c r="D61">
        <f t="shared" si="0"/>
        <v>1.9206314086914134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32.120521545410163</v>
      </c>
      <c r="D62">
        <f t="shared" si="0"/>
        <v>1.1205215454101634</v>
      </c>
      <c r="E62">
        <f t="shared" si="1"/>
        <v>1.8678417205810618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30.252679824829102</v>
      </c>
      <c r="D63">
        <f t="shared" si="0"/>
        <v>0.74732017517089844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29.849050521850589</v>
      </c>
      <c r="D64">
        <f t="shared" si="0"/>
        <v>1.1509494781494105</v>
      </c>
      <c r="E64">
        <f t="shared" si="1"/>
        <v>0.9228744506835902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30.77192497253418</v>
      </c>
      <c r="D65">
        <f t="shared" si="0"/>
        <v>0.22807502746582031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30.688592910766602</v>
      </c>
      <c r="D66">
        <f t="shared" si="0"/>
        <v>0.31140708923339844</v>
      </c>
      <c r="E66">
        <f t="shared" si="1"/>
        <v>1.666259765625E-2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30.671930313110352</v>
      </c>
      <c r="D67">
        <f t="shared" ref="D67:D121" si="2">ABS(C67-B67)</f>
        <v>0.32806968688964844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29.910287857055661</v>
      </c>
      <c r="D68">
        <f t="shared" si="2"/>
        <v>1.0897121429443395</v>
      </c>
      <c r="E68">
        <f t="shared" si="3"/>
        <v>1.0710239410400391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28.839263916015621</v>
      </c>
      <c r="D69">
        <f t="shared" si="2"/>
        <v>2.1607360839843786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31.39724159240723</v>
      </c>
      <c r="D70">
        <f t="shared" si="2"/>
        <v>0.39724159240723012</v>
      </c>
      <c r="E70">
        <f t="shared" si="3"/>
        <v>1.0944919586181605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32.491733551025391</v>
      </c>
      <c r="D71">
        <f t="shared" si="2"/>
        <v>1.4917335510253906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31.320711135864261</v>
      </c>
      <c r="D72">
        <f t="shared" si="2"/>
        <v>0.32071113586426137</v>
      </c>
      <c r="E72">
        <f t="shared" si="3"/>
        <v>1.6553421020507813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29.66536903381348</v>
      </c>
      <c r="D73">
        <f t="shared" si="2"/>
        <v>1.3346309661865199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29.873414993286129</v>
      </c>
      <c r="D74">
        <f t="shared" si="2"/>
        <v>1.1265850067138707</v>
      </c>
      <c r="E74">
        <f t="shared" si="3"/>
        <v>1.5947418212890696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31.468156814575199</v>
      </c>
      <c r="D75">
        <f t="shared" si="2"/>
        <v>0.46815681457519887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30.84196662902832</v>
      </c>
      <c r="D76">
        <f t="shared" si="2"/>
        <v>0.15803337097167969</v>
      </c>
      <c r="E76">
        <f t="shared" si="3"/>
        <v>0.27476119995117188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30.567205429077148</v>
      </c>
      <c r="D77">
        <f t="shared" si="2"/>
        <v>0.43279457092285156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30.666574478149411</v>
      </c>
      <c r="D78">
        <f t="shared" si="2"/>
        <v>0.33342552185058949</v>
      </c>
      <c r="E78">
        <f t="shared" si="3"/>
        <v>0.41245651245117898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31.079030990600589</v>
      </c>
      <c r="D79">
        <f t="shared" si="2"/>
        <v>7.903099060058949E-2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34.047042846679688</v>
      </c>
      <c r="D80">
        <f t="shared" si="2"/>
        <v>3.0470428466796875</v>
      </c>
      <c r="E80">
        <f t="shared" si="3"/>
        <v>1.4132766723632741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32.633766174316413</v>
      </c>
      <c r="D81">
        <f t="shared" si="2"/>
        <v>1.6337661743164134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27.82459831237793</v>
      </c>
      <c r="D82">
        <f t="shared" si="2"/>
        <v>2.1754016876220703</v>
      </c>
      <c r="E82">
        <f t="shared" si="3"/>
        <v>1.2535591125488317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29.078157424926761</v>
      </c>
      <c r="D83">
        <f t="shared" si="2"/>
        <v>0.92184257507323863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29.903570175170898</v>
      </c>
      <c r="D84">
        <f t="shared" si="2"/>
        <v>9.6429824829101563E-2</v>
      </c>
      <c r="E84">
        <f t="shared" si="3"/>
        <v>2.8159217834472692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27.087648391723629</v>
      </c>
      <c r="D85">
        <f t="shared" si="2"/>
        <v>2.9123516082763707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29.70517539978027</v>
      </c>
      <c r="D86">
        <f t="shared" si="2"/>
        <v>0.29482460021973012</v>
      </c>
      <c r="E86">
        <f t="shared" si="3"/>
        <v>1.039794921875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28.66538047790527</v>
      </c>
      <c r="D87">
        <f t="shared" si="2"/>
        <v>1.3346195220947301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28.45071983337402</v>
      </c>
      <c r="D88">
        <f t="shared" si="2"/>
        <v>1.5492801666259801</v>
      </c>
      <c r="E88">
        <f t="shared" si="3"/>
        <v>0.25440406799317117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28.705123901367191</v>
      </c>
      <c r="D89">
        <f t="shared" si="2"/>
        <v>1.2948760986328089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29.941164016723629</v>
      </c>
      <c r="D90">
        <f t="shared" si="2"/>
        <v>5.883598327637074E-2</v>
      </c>
      <c r="E90">
        <f t="shared" si="3"/>
        <v>0.16389083862303977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29.777273178100589</v>
      </c>
      <c r="D91">
        <f t="shared" si="2"/>
        <v>0.22272682189941051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30.267068862915039</v>
      </c>
      <c r="D92">
        <f t="shared" si="2"/>
        <v>0.26706886291503906</v>
      </c>
      <c r="E92">
        <f t="shared" si="3"/>
        <v>0.93608856201171875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29.33098030090332</v>
      </c>
      <c r="D93">
        <f t="shared" si="2"/>
        <v>0.66901969909667969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30.117647171020511</v>
      </c>
      <c r="D94">
        <f t="shared" si="2"/>
        <v>0.11764717102051137</v>
      </c>
      <c r="E94">
        <f t="shared" si="3"/>
        <v>0.59484100341796875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30.71248817443848</v>
      </c>
      <c r="D95">
        <f t="shared" si="2"/>
        <v>0.71248817443848012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29.28408241271973</v>
      </c>
      <c r="D96">
        <f t="shared" si="2"/>
        <v>0.71591758728026988</v>
      </c>
      <c r="E96">
        <f t="shared" si="3"/>
        <v>0.48401260375975852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29.768095016479489</v>
      </c>
      <c r="D97">
        <f t="shared" si="2"/>
        <v>0.23190498352051137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28.666677474975589</v>
      </c>
      <c r="D98">
        <f t="shared" si="2"/>
        <v>1.3333225250244105</v>
      </c>
      <c r="E98">
        <f t="shared" si="3"/>
        <v>0.89273071289062145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29.559408187866211</v>
      </c>
      <c r="D99">
        <f t="shared" si="2"/>
        <v>0.44059181213378906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29.094917297363281</v>
      </c>
      <c r="D100">
        <f t="shared" si="2"/>
        <v>0.90508270263671875</v>
      </c>
      <c r="E100">
        <f t="shared" si="3"/>
        <v>0.37271308898925781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29.467630386352539</v>
      </c>
      <c r="D101">
        <f t="shared" si="2"/>
        <v>0.53236961364746094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31.605230331420898</v>
      </c>
      <c r="D102">
        <f t="shared" si="2"/>
        <v>1.6052303314208984</v>
      </c>
      <c r="E102">
        <f t="shared" si="3"/>
        <v>1.3092727661132777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30.295957565307621</v>
      </c>
      <c r="D103">
        <f t="shared" si="2"/>
        <v>0.29595756530762074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29.272256851196289</v>
      </c>
      <c r="D104">
        <f t="shared" si="2"/>
        <v>0.72774314880371094</v>
      </c>
      <c r="E104">
        <f t="shared" si="3"/>
        <v>0.1226730346679723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29.394929885864261</v>
      </c>
      <c r="D105">
        <f t="shared" si="2"/>
        <v>0.60507011413573863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29.558351516723629</v>
      </c>
      <c r="D106">
        <f t="shared" si="2"/>
        <v>0.44164848327637074</v>
      </c>
      <c r="E106">
        <f t="shared" si="3"/>
        <v>1.0058059692382777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28.552545547485352</v>
      </c>
      <c r="D107">
        <f t="shared" si="2"/>
        <v>1.4474544525146484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28.104660034179691</v>
      </c>
      <c r="D108">
        <f t="shared" si="2"/>
        <v>1.8953399658203089</v>
      </c>
      <c r="E108">
        <f t="shared" si="3"/>
        <v>0.16144561767578125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27.94321441650391</v>
      </c>
      <c r="D109">
        <f t="shared" si="2"/>
        <v>2.0567855834960902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29.08205413818359</v>
      </c>
      <c r="D110">
        <f t="shared" si="2"/>
        <v>0.9179458618164098</v>
      </c>
      <c r="E110">
        <f t="shared" si="3"/>
        <v>0.73684883117676137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29.818902969360352</v>
      </c>
      <c r="D111">
        <f t="shared" si="2"/>
        <v>0.18109703063964844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29.18754768371582</v>
      </c>
      <c r="D112">
        <f t="shared" si="2"/>
        <v>0.81245231628417969</v>
      </c>
      <c r="E112">
        <f t="shared" si="3"/>
        <v>0.3221435546875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29.50969123840332</v>
      </c>
      <c r="D113">
        <f t="shared" si="2"/>
        <v>0.49030876159667969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29.173583984375</v>
      </c>
      <c r="D114">
        <f t="shared" si="2"/>
        <v>0.826416015625</v>
      </c>
      <c r="E114">
        <f t="shared" si="3"/>
        <v>0.68190956115723012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28.49167442321777</v>
      </c>
      <c r="D115">
        <f t="shared" si="2"/>
        <v>1.5083255767822301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29.476869583129879</v>
      </c>
      <c r="D116">
        <f t="shared" si="2"/>
        <v>0.52313041687012074</v>
      </c>
      <c r="E116">
        <f t="shared" si="3"/>
        <v>9.9693298339850855E-2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29.57656288146973</v>
      </c>
      <c r="D117">
        <f t="shared" si="2"/>
        <v>0.42343711853026988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29.90445518493652</v>
      </c>
      <c r="D118">
        <f t="shared" si="2"/>
        <v>9.5544815063480115E-2</v>
      </c>
      <c r="E118">
        <f t="shared" si="3"/>
        <v>0.82336997985839844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29.081085205078121</v>
      </c>
      <c r="D119">
        <f t="shared" si="2"/>
        <v>0.91891479492187855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30.516450881958011</v>
      </c>
      <c r="D120">
        <f t="shared" si="2"/>
        <v>0.51645088195801137</v>
      </c>
      <c r="E120">
        <f t="shared" si="3"/>
        <v>1.4775505065918004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29.038900375366211</v>
      </c>
      <c r="D121">
        <f t="shared" si="2"/>
        <v>0.96109962463378906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8" priority="1" operator="between">
      <formula>1000</formula>
      <formula>6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13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7" max="7" width="9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231</v>
      </c>
      <c r="G1" s="1" t="s">
        <v>232</v>
      </c>
      <c r="H1" s="1" t="s">
        <v>210</v>
      </c>
    </row>
    <row r="2" spans="1:8" x14ac:dyDescent="0.25">
      <c r="A2" t="s">
        <v>123</v>
      </c>
      <c r="B2">
        <v>28</v>
      </c>
      <c r="C2">
        <v>31.344797134399411</v>
      </c>
      <c r="D2">
        <f>ABS(C2-B2)</f>
        <v>3.3447971343994105</v>
      </c>
      <c r="E2">
        <f>IF(COUNTIF($H:$H,H2)=2,ABS(C2-_xlfn.XLOOKUP(H2,$H:$H,$C:$C,"",0,-1)),"")</f>
        <v>1.2682838439941406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30.07651329040527</v>
      </c>
      <c r="D3">
        <f t="shared" ref="D3:D43" si="0">ABS(C3-B3)</f>
        <v>2.0765132904052699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30.045576095581051</v>
      </c>
      <c r="D4">
        <f t="shared" si="0"/>
        <v>4.5576095581051135E-2</v>
      </c>
      <c r="E4">
        <f t="shared" si="1"/>
        <v>1.1530303955078125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28.892545700073239</v>
      </c>
      <c r="D5">
        <f t="shared" si="0"/>
        <v>1.1074542999267614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32.125640869140618</v>
      </c>
      <c r="D6">
        <f t="shared" si="0"/>
        <v>4.1256408691406179</v>
      </c>
      <c r="E6">
        <f t="shared" si="1"/>
        <v>0.49436187744141336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32.620002746582031</v>
      </c>
      <c r="D7">
        <f t="shared" si="0"/>
        <v>4.6200027465820313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25.53801155090332</v>
      </c>
      <c r="D8">
        <f t="shared" si="0"/>
        <v>0.46198844909667969</v>
      </c>
      <c r="E8">
        <f t="shared" si="1"/>
        <v>0.43944740295409801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25.977458953857418</v>
      </c>
      <c r="D9">
        <f t="shared" si="0"/>
        <v>2.2541046142581678E-2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25.94479942321777</v>
      </c>
      <c r="D10">
        <f t="shared" si="0"/>
        <v>3.9447994232177699</v>
      </c>
      <c r="E10">
        <f t="shared" si="1"/>
        <v>0.42990493774414063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26.374704360961911</v>
      </c>
      <c r="D11">
        <f t="shared" si="0"/>
        <v>4.3747043609619105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23.975374221801761</v>
      </c>
      <c r="D12">
        <f t="shared" si="0"/>
        <v>2.0246257781982386</v>
      </c>
      <c r="E12">
        <f t="shared" si="1"/>
        <v>3.21502685546875E-2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24.007524490356449</v>
      </c>
      <c r="D13">
        <f t="shared" si="0"/>
        <v>1.9924755096435511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32.170944213867188</v>
      </c>
      <c r="D14">
        <f t="shared" si="0"/>
        <v>6.1709442138671875</v>
      </c>
      <c r="E14">
        <f t="shared" si="1"/>
        <v>0.7315216064453125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32.9024658203125</v>
      </c>
      <c r="D15">
        <f t="shared" si="0"/>
        <v>6.9024658203125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59.009517669677727</v>
      </c>
      <c r="D16">
        <f t="shared" si="0"/>
        <v>36.009517669677727</v>
      </c>
      <c r="E16">
        <f t="shared" si="1"/>
        <v>0.20121765136718039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58.808300018310547</v>
      </c>
      <c r="D17">
        <f t="shared" si="0"/>
        <v>35.808300018310547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48.097747802734382</v>
      </c>
      <c r="D18">
        <f t="shared" si="0"/>
        <v>6.0977478027343821</v>
      </c>
      <c r="E18">
        <f t="shared" si="1"/>
        <v>0.29500961303709516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48.392757415771477</v>
      </c>
      <c r="D19">
        <f t="shared" si="0"/>
        <v>6.3927574157714773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35.108856201171882</v>
      </c>
      <c r="D20">
        <f t="shared" si="0"/>
        <v>3.1088562011718821</v>
      </c>
      <c r="E20">
        <f t="shared" si="1"/>
        <v>0.74305725097655539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35.851913452148438</v>
      </c>
      <c r="D21">
        <f t="shared" si="0"/>
        <v>3.8519134521484375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25.992197036743161</v>
      </c>
      <c r="D22">
        <f t="shared" si="0"/>
        <v>4.0078029632568395</v>
      </c>
      <c r="E22">
        <f t="shared" si="1"/>
        <v>1.6901016235358668E-2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26.009098052978519</v>
      </c>
      <c r="D23">
        <f t="shared" si="0"/>
        <v>3.9909019470214808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33.531929016113281</v>
      </c>
      <c r="D24">
        <f t="shared" si="0"/>
        <v>15.468070983886719</v>
      </c>
      <c r="E24">
        <f t="shared" si="1"/>
        <v>1.4589080810546946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32.073020935058587</v>
      </c>
      <c r="D25">
        <f t="shared" si="0"/>
        <v>16.926979064941413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33.3988037109375</v>
      </c>
      <c r="D26">
        <f t="shared" si="0"/>
        <v>4.3988037109375</v>
      </c>
      <c r="E26">
        <f t="shared" si="1"/>
        <v>0.83441162109375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34.23321533203125</v>
      </c>
      <c r="D27">
        <f t="shared" si="0"/>
        <v>5.23321533203125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35.760208129882813</v>
      </c>
      <c r="D28">
        <f t="shared" si="0"/>
        <v>1.7602081298828125</v>
      </c>
      <c r="E28">
        <f t="shared" si="1"/>
        <v>0.905517578125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34.854690551757813</v>
      </c>
      <c r="D29">
        <f t="shared" si="0"/>
        <v>0.8546905517578125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36.249919891357422</v>
      </c>
      <c r="D30">
        <f t="shared" si="0"/>
        <v>1.7500801086425781</v>
      </c>
      <c r="E30">
        <f t="shared" si="1"/>
        <v>2.3952484130859375E-2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36.273872375488281</v>
      </c>
      <c r="D31">
        <f t="shared" si="0"/>
        <v>1.7261276245117188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21.135295867919918</v>
      </c>
      <c r="D32">
        <f t="shared" si="0"/>
        <v>3.8647041320800817</v>
      </c>
      <c r="E32">
        <f t="shared" si="1"/>
        <v>0.41678047180176137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21.55207633972168</v>
      </c>
      <c r="D33">
        <f t="shared" si="0"/>
        <v>3.4479236602783203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26.58807373046875</v>
      </c>
      <c r="D34">
        <f t="shared" si="0"/>
        <v>1.58807373046875</v>
      </c>
      <c r="E34">
        <f t="shared" si="1"/>
        <v>0.43416404724121094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27.022237777709961</v>
      </c>
      <c r="D35">
        <f t="shared" si="0"/>
        <v>2.0222377777099609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22.363958358764648</v>
      </c>
      <c r="D36">
        <f t="shared" si="0"/>
        <v>2.6360416412353516</v>
      </c>
      <c r="E36">
        <f t="shared" si="1"/>
        <v>2.7829246520996129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25.146883010864261</v>
      </c>
      <c r="D37">
        <f t="shared" si="0"/>
        <v>0.14688301086426137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29.867780685424801</v>
      </c>
      <c r="D38">
        <f t="shared" si="0"/>
        <v>0.13221931457519887</v>
      </c>
      <c r="E38">
        <f t="shared" si="1"/>
        <v>0.53701782226562855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30.40479850769043</v>
      </c>
      <c r="D39">
        <f t="shared" si="0"/>
        <v>0.40479850769042969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63.927383422851563</v>
      </c>
      <c r="D40">
        <f t="shared" si="0"/>
        <v>2.9273834228515625</v>
      </c>
      <c r="E40">
        <f t="shared" si="1"/>
        <v>1.1651229858398438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65.092506408691406</v>
      </c>
      <c r="D41">
        <f t="shared" si="0"/>
        <v>4.0925064086914063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39.036636352539063</v>
      </c>
      <c r="D42">
        <f t="shared" si="0"/>
        <v>1.0366363525390625</v>
      </c>
      <c r="E42">
        <f t="shared" si="1"/>
        <v>0.4877471923828125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38.54888916015625</v>
      </c>
      <c r="D43">
        <f t="shared" si="0"/>
        <v>0.54888916015625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7" priority="1" operator="between">
      <formula>1000</formula>
      <formula>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opLeftCell="A13" workbookViewId="0">
      <selection activeCell="D42" sqref="D42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208</v>
      </c>
      <c r="G1" s="1" t="s">
        <v>209</v>
      </c>
      <c r="H1" s="1" t="s">
        <v>210</v>
      </c>
    </row>
    <row r="2" spans="1:8" x14ac:dyDescent="0.25">
      <c r="A2" t="s">
        <v>165</v>
      </c>
      <c r="B2">
        <v>20</v>
      </c>
      <c r="C2">
        <v>25.270322799682621</v>
      </c>
      <c r="D2">
        <f>ABS(C2-B2)</f>
        <v>5.2703227996826207</v>
      </c>
      <c r="E2">
        <f>IF(RIGHT(A2,3)="MR1",ABS(C2-_xlfn.XLOOKUP(SUBSTITUTE(A2,"_MR1","_MR2"),$A:$A,$C:$C)),"")</f>
        <v>0.7036666870117223</v>
      </c>
      <c r="F2">
        <v>2</v>
      </c>
      <c r="G2" s="2">
        <v>1.5</v>
      </c>
      <c r="H2" t="s">
        <v>211</v>
      </c>
    </row>
    <row r="3" spans="1:8" x14ac:dyDescent="0.25">
      <c r="A3" t="s">
        <v>166</v>
      </c>
      <c r="B3">
        <v>20</v>
      </c>
      <c r="C3">
        <v>24.566656112670898</v>
      </c>
      <c r="D3">
        <f t="shared" ref="D3:D41" si="0">ABS(C3-B3)</f>
        <v>4.5666561126708984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211</v>
      </c>
    </row>
    <row r="4" spans="1:8" x14ac:dyDescent="0.25">
      <c r="A4" t="s">
        <v>167</v>
      </c>
      <c r="B4">
        <v>25</v>
      </c>
      <c r="C4">
        <v>28.724637985229489</v>
      </c>
      <c r="D4">
        <f t="shared" si="0"/>
        <v>3.7246379852294886</v>
      </c>
      <c r="E4">
        <f t="shared" si="1"/>
        <v>0.68027114868163707</v>
      </c>
      <c r="F4">
        <v>2</v>
      </c>
      <c r="G4" s="2">
        <v>1.5</v>
      </c>
      <c r="H4" t="s">
        <v>212</v>
      </c>
    </row>
    <row r="5" spans="1:8" x14ac:dyDescent="0.25">
      <c r="A5" t="s">
        <v>168</v>
      </c>
      <c r="B5">
        <v>25</v>
      </c>
      <c r="C5">
        <v>28.044366836547852</v>
      </c>
      <c r="D5">
        <f t="shared" si="0"/>
        <v>3.0443668365478516</v>
      </c>
      <c r="E5" t="str">
        <f t="shared" si="1"/>
        <v/>
      </c>
      <c r="F5">
        <v>2</v>
      </c>
      <c r="G5" s="2">
        <v>1.5</v>
      </c>
      <c r="H5" t="s">
        <v>212</v>
      </c>
    </row>
    <row r="6" spans="1:8" x14ac:dyDescent="0.25">
      <c r="A6" t="s">
        <v>169</v>
      </c>
      <c r="B6">
        <v>22</v>
      </c>
      <c r="C6">
        <v>22.536104202270511</v>
      </c>
      <c r="D6">
        <f t="shared" si="0"/>
        <v>0.53610420227051137</v>
      </c>
      <c r="E6">
        <f t="shared" si="1"/>
        <v>0.25094604492188211</v>
      </c>
      <c r="F6">
        <v>1</v>
      </c>
      <c r="G6" s="2">
        <v>1.5</v>
      </c>
      <c r="H6" t="s">
        <v>213</v>
      </c>
    </row>
    <row r="7" spans="1:8" x14ac:dyDescent="0.25">
      <c r="A7" t="s">
        <v>170</v>
      </c>
      <c r="B7">
        <v>22</v>
      </c>
      <c r="C7">
        <v>22.285158157348629</v>
      </c>
      <c r="D7">
        <f t="shared" si="0"/>
        <v>0.28515815734862926</v>
      </c>
      <c r="E7" t="str">
        <f t="shared" si="1"/>
        <v/>
      </c>
      <c r="F7">
        <v>1</v>
      </c>
      <c r="G7" s="2">
        <v>1.5</v>
      </c>
      <c r="H7" t="s">
        <v>213</v>
      </c>
    </row>
    <row r="8" spans="1:8" x14ac:dyDescent="0.25">
      <c r="A8" t="s">
        <v>171</v>
      </c>
      <c r="B8">
        <v>29</v>
      </c>
      <c r="C8">
        <v>30.183511734008789</v>
      </c>
      <c r="D8">
        <f t="shared" si="0"/>
        <v>1.1835117340087891</v>
      </c>
      <c r="E8">
        <f t="shared" si="1"/>
        <v>4.3937683105472303E-2</v>
      </c>
      <c r="F8">
        <v>1</v>
      </c>
      <c r="G8" s="2">
        <v>1.5</v>
      </c>
      <c r="H8" t="s">
        <v>214</v>
      </c>
    </row>
    <row r="9" spans="1:8" x14ac:dyDescent="0.25">
      <c r="A9" t="s">
        <v>172</v>
      </c>
      <c r="B9">
        <v>29</v>
      </c>
      <c r="C9">
        <v>30.227449417114261</v>
      </c>
      <c r="D9">
        <f t="shared" si="0"/>
        <v>1.2274494171142614</v>
      </c>
      <c r="E9" t="str">
        <f t="shared" si="1"/>
        <v/>
      </c>
      <c r="F9">
        <v>1</v>
      </c>
      <c r="G9" s="2">
        <v>1.5</v>
      </c>
      <c r="H9" t="s">
        <v>214</v>
      </c>
    </row>
    <row r="10" spans="1:8" x14ac:dyDescent="0.25">
      <c r="A10" t="s">
        <v>173</v>
      </c>
      <c r="B10">
        <v>23</v>
      </c>
      <c r="C10">
        <v>17.012765884399411</v>
      </c>
      <c r="D10">
        <f t="shared" si="0"/>
        <v>5.9872341156005895</v>
      </c>
      <c r="E10">
        <f t="shared" si="1"/>
        <v>1.1842164993286097</v>
      </c>
      <c r="F10">
        <v>1</v>
      </c>
      <c r="G10" s="2">
        <v>1.5</v>
      </c>
      <c r="H10" t="s">
        <v>215</v>
      </c>
    </row>
    <row r="11" spans="1:8" x14ac:dyDescent="0.25">
      <c r="A11" t="s">
        <v>174</v>
      </c>
      <c r="B11">
        <v>23</v>
      </c>
      <c r="C11">
        <v>15.828549385070801</v>
      </c>
      <c r="D11">
        <f t="shared" si="0"/>
        <v>7.1714506149291992</v>
      </c>
      <c r="E11" t="str">
        <f t="shared" si="1"/>
        <v/>
      </c>
      <c r="F11">
        <v>1</v>
      </c>
      <c r="G11" s="2">
        <v>1.5</v>
      </c>
      <c r="H11" t="s">
        <v>215</v>
      </c>
    </row>
    <row r="12" spans="1:8" x14ac:dyDescent="0.25">
      <c r="A12" t="s">
        <v>175</v>
      </c>
      <c r="B12">
        <v>25</v>
      </c>
      <c r="C12">
        <v>25.202316284179691</v>
      </c>
      <c r="D12">
        <f t="shared" si="0"/>
        <v>0.20231628417969105</v>
      </c>
      <c r="E12">
        <f t="shared" si="1"/>
        <v>0.45730018615721946</v>
      </c>
      <c r="F12">
        <v>1</v>
      </c>
      <c r="G12" s="2">
        <v>1.5</v>
      </c>
      <c r="H12" t="s">
        <v>216</v>
      </c>
    </row>
    <row r="13" spans="1:8" x14ac:dyDescent="0.25">
      <c r="A13" t="s">
        <v>176</v>
      </c>
      <c r="B13">
        <v>25</v>
      </c>
      <c r="C13">
        <v>25.659616470336911</v>
      </c>
      <c r="D13">
        <f t="shared" si="0"/>
        <v>0.65961647033691051</v>
      </c>
      <c r="E13" t="str">
        <f t="shared" si="1"/>
        <v/>
      </c>
      <c r="F13">
        <v>1</v>
      </c>
      <c r="G13" s="2">
        <v>1.5</v>
      </c>
      <c r="H13" t="s">
        <v>216</v>
      </c>
    </row>
    <row r="14" spans="1:8" x14ac:dyDescent="0.25">
      <c r="A14" t="s">
        <v>177</v>
      </c>
      <c r="B14">
        <v>34</v>
      </c>
      <c r="C14">
        <v>28.07736778259277</v>
      </c>
      <c r="D14">
        <f t="shared" si="0"/>
        <v>5.9226322174072301</v>
      </c>
      <c r="E14">
        <f t="shared" si="1"/>
        <v>1.3843727111816406</v>
      </c>
      <c r="F14">
        <v>1</v>
      </c>
      <c r="G14" s="2">
        <v>1.5</v>
      </c>
      <c r="H14" t="s">
        <v>217</v>
      </c>
    </row>
    <row r="15" spans="1:8" x14ac:dyDescent="0.25">
      <c r="A15" t="s">
        <v>178</v>
      </c>
      <c r="B15">
        <v>34</v>
      </c>
      <c r="C15">
        <v>29.461740493774411</v>
      </c>
      <c r="D15">
        <f t="shared" si="0"/>
        <v>4.5382595062255895</v>
      </c>
      <c r="E15" t="str">
        <f t="shared" si="1"/>
        <v/>
      </c>
      <c r="F15">
        <v>1</v>
      </c>
      <c r="G15" s="2">
        <v>1.5</v>
      </c>
      <c r="H15" t="s">
        <v>217</v>
      </c>
    </row>
    <row r="16" spans="1:8" x14ac:dyDescent="0.25">
      <c r="A16" t="s">
        <v>179</v>
      </c>
      <c r="B16">
        <v>20</v>
      </c>
      <c r="C16">
        <v>19.973138809204102</v>
      </c>
      <c r="D16">
        <f t="shared" si="0"/>
        <v>2.6861190795898438E-2</v>
      </c>
      <c r="E16">
        <f t="shared" si="1"/>
        <v>1.3768997192382777</v>
      </c>
      <c r="F16">
        <v>2</v>
      </c>
      <c r="G16" s="2">
        <v>1.5</v>
      </c>
      <c r="H16" t="s">
        <v>218</v>
      </c>
    </row>
    <row r="17" spans="1:8" x14ac:dyDescent="0.25">
      <c r="A17" t="s">
        <v>180</v>
      </c>
      <c r="B17">
        <v>20</v>
      </c>
      <c r="C17">
        <v>21.350038528442379</v>
      </c>
      <c r="D17">
        <f t="shared" si="0"/>
        <v>1.3500385284423793</v>
      </c>
      <c r="E17" t="str">
        <f t="shared" si="1"/>
        <v/>
      </c>
      <c r="F17">
        <v>2</v>
      </c>
      <c r="G17" s="2">
        <v>1.5</v>
      </c>
      <c r="H17" t="s">
        <v>218</v>
      </c>
    </row>
    <row r="18" spans="1:8" x14ac:dyDescent="0.25">
      <c r="A18" t="s">
        <v>181</v>
      </c>
      <c r="B18">
        <v>20</v>
      </c>
      <c r="C18">
        <v>22.659965515136719</v>
      </c>
      <c r="D18">
        <f t="shared" si="0"/>
        <v>2.6599655151367188</v>
      </c>
      <c r="E18">
        <f t="shared" si="1"/>
        <v>0.62328910827636719</v>
      </c>
      <c r="F18">
        <v>2</v>
      </c>
      <c r="G18" s="2">
        <v>1.5</v>
      </c>
      <c r="H18" t="s">
        <v>219</v>
      </c>
    </row>
    <row r="19" spans="1:8" x14ac:dyDescent="0.25">
      <c r="A19" t="s">
        <v>182</v>
      </c>
      <c r="B19">
        <v>20</v>
      </c>
      <c r="C19">
        <v>22.036676406860352</v>
      </c>
      <c r="D19">
        <f t="shared" si="0"/>
        <v>2.0366764068603516</v>
      </c>
      <c r="E19" t="str">
        <f t="shared" si="1"/>
        <v/>
      </c>
      <c r="F19">
        <v>2</v>
      </c>
      <c r="G19" s="2">
        <v>1.5</v>
      </c>
      <c r="H19" t="s">
        <v>219</v>
      </c>
    </row>
    <row r="20" spans="1:8" x14ac:dyDescent="0.25">
      <c r="A20" t="s">
        <v>183</v>
      </c>
      <c r="B20">
        <v>21</v>
      </c>
      <c r="C20">
        <v>25.036128997802731</v>
      </c>
      <c r="D20">
        <f t="shared" si="0"/>
        <v>4.0361289978027308</v>
      </c>
      <c r="E20">
        <f t="shared" si="1"/>
        <v>0.79096794128417969</v>
      </c>
      <c r="F20">
        <v>2</v>
      </c>
      <c r="G20" s="2">
        <v>1.5</v>
      </c>
      <c r="H20" t="s">
        <v>220</v>
      </c>
    </row>
    <row r="21" spans="1:8" x14ac:dyDescent="0.25">
      <c r="A21" t="s">
        <v>184</v>
      </c>
      <c r="B21">
        <v>21</v>
      </c>
      <c r="C21">
        <v>25.827096939086911</v>
      </c>
      <c r="D21">
        <f t="shared" si="0"/>
        <v>4.8270969390869105</v>
      </c>
      <c r="E21" t="str">
        <f t="shared" si="1"/>
        <v/>
      </c>
      <c r="F21">
        <v>2</v>
      </c>
      <c r="G21" s="2">
        <v>1.5</v>
      </c>
      <c r="H21" t="s">
        <v>220</v>
      </c>
    </row>
    <row r="22" spans="1:8" x14ac:dyDescent="0.25">
      <c r="A22" t="s">
        <v>185</v>
      </c>
      <c r="B22">
        <v>23</v>
      </c>
      <c r="C22">
        <v>29.403718948364261</v>
      </c>
      <c r="D22">
        <f t="shared" si="0"/>
        <v>6.4037189483642614</v>
      </c>
      <c r="E22">
        <f t="shared" si="1"/>
        <v>2.2595596313476598</v>
      </c>
      <c r="F22">
        <v>2</v>
      </c>
      <c r="G22" s="2">
        <v>1.5</v>
      </c>
      <c r="H22" t="s">
        <v>221</v>
      </c>
    </row>
    <row r="23" spans="1:8" x14ac:dyDescent="0.25">
      <c r="A23" t="s">
        <v>186</v>
      </c>
      <c r="B23">
        <v>23</v>
      </c>
      <c r="C23">
        <v>27.144159317016602</v>
      </c>
      <c r="D23">
        <f t="shared" si="0"/>
        <v>4.1441593170166016</v>
      </c>
      <c r="E23" t="str">
        <f t="shared" si="1"/>
        <v/>
      </c>
      <c r="F23">
        <v>2</v>
      </c>
      <c r="G23" s="2">
        <v>1.5</v>
      </c>
      <c r="H23" t="s">
        <v>221</v>
      </c>
    </row>
    <row r="24" spans="1:8" x14ac:dyDescent="0.25">
      <c r="A24" t="s">
        <v>187</v>
      </c>
      <c r="B24">
        <v>19</v>
      </c>
      <c r="C24">
        <v>36.253620147705078</v>
      </c>
      <c r="D24">
        <f t="shared" si="0"/>
        <v>17.253620147705078</v>
      </c>
      <c r="E24">
        <f t="shared" si="1"/>
        <v>0.436187744140625</v>
      </c>
      <c r="F24">
        <v>2</v>
      </c>
      <c r="G24" s="2">
        <v>1.5</v>
      </c>
      <c r="H24" t="s">
        <v>222</v>
      </c>
    </row>
    <row r="25" spans="1:8" x14ac:dyDescent="0.25">
      <c r="A25" t="s">
        <v>188</v>
      </c>
      <c r="B25">
        <v>19</v>
      </c>
      <c r="C25">
        <v>35.817432403564453</v>
      </c>
      <c r="D25">
        <f t="shared" si="0"/>
        <v>16.817432403564453</v>
      </c>
      <c r="E25" t="str">
        <f t="shared" si="1"/>
        <v/>
      </c>
      <c r="F25">
        <v>2</v>
      </c>
      <c r="G25" s="2">
        <v>1.5</v>
      </c>
      <c r="H25" t="s">
        <v>222</v>
      </c>
    </row>
    <row r="26" spans="1:8" x14ac:dyDescent="0.25">
      <c r="A26" t="s">
        <v>189</v>
      </c>
      <c r="B26">
        <v>20</v>
      </c>
      <c r="C26">
        <v>15.83809757232666</v>
      </c>
      <c r="D26">
        <f t="shared" si="0"/>
        <v>4.1619024276733398</v>
      </c>
      <c r="E26">
        <f t="shared" si="1"/>
        <v>0.15367507934569957</v>
      </c>
      <c r="F26">
        <v>2</v>
      </c>
      <c r="G26" s="2">
        <v>1.5</v>
      </c>
      <c r="H26" t="s">
        <v>223</v>
      </c>
    </row>
    <row r="27" spans="1:8" x14ac:dyDescent="0.25">
      <c r="A27" t="s">
        <v>190</v>
      </c>
      <c r="B27">
        <v>20</v>
      </c>
      <c r="C27">
        <v>15.99177265167236</v>
      </c>
      <c r="D27">
        <f t="shared" si="0"/>
        <v>4.0082273483276403</v>
      </c>
      <c r="E27" t="str">
        <f t="shared" si="1"/>
        <v/>
      </c>
      <c r="F27">
        <v>2</v>
      </c>
      <c r="G27" s="2">
        <v>1.5</v>
      </c>
      <c r="H27" t="s">
        <v>223</v>
      </c>
    </row>
    <row r="28" spans="1:8" x14ac:dyDescent="0.25">
      <c r="A28" t="s">
        <v>191</v>
      </c>
      <c r="B28">
        <v>29</v>
      </c>
      <c r="C28">
        <v>33.997150421142578</v>
      </c>
      <c r="D28">
        <f t="shared" si="0"/>
        <v>4.9971504211425781</v>
      </c>
      <c r="E28">
        <f t="shared" si="1"/>
        <v>0.66341781616210938</v>
      </c>
      <c r="F28">
        <v>2</v>
      </c>
      <c r="G28" s="2">
        <v>1.5</v>
      </c>
      <c r="H28" t="s">
        <v>224</v>
      </c>
    </row>
    <row r="29" spans="1:8" x14ac:dyDescent="0.25">
      <c r="A29" t="s">
        <v>192</v>
      </c>
      <c r="B29">
        <v>29</v>
      </c>
      <c r="C29">
        <v>34.660568237304688</v>
      </c>
      <c r="D29">
        <f t="shared" si="0"/>
        <v>5.6605682373046875</v>
      </c>
      <c r="E29" t="str">
        <f t="shared" si="1"/>
        <v/>
      </c>
      <c r="F29">
        <v>2</v>
      </c>
      <c r="G29" s="2">
        <v>1.5</v>
      </c>
      <c r="H29" t="s">
        <v>224</v>
      </c>
    </row>
    <row r="30" spans="1:8" x14ac:dyDescent="0.25">
      <c r="A30" t="s">
        <v>193</v>
      </c>
      <c r="B30">
        <v>28</v>
      </c>
      <c r="C30">
        <v>25.691194534301761</v>
      </c>
      <c r="D30">
        <f t="shared" si="0"/>
        <v>2.3088054656982386</v>
      </c>
      <c r="E30">
        <f t="shared" si="1"/>
        <v>5.8385848999019885E-2</v>
      </c>
      <c r="F30">
        <v>2</v>
      </c>
      <c r="G30" s="2">
        <v>1.5</v>
      </c>
      <c r="H30" t="s">
        <v>225</v>
      </c>
    </row>
    <row r="31" spans="1:8" x14ac:dyDescent="0.25">
      <c r="A31" t="s">
        <v>194</v>
      </c>
      <c r="B31">
        <v>28</v>
      </c>
      <c r="C31">
        <v>25.749580383300781</v>
      </c>
      <c r="D31">
        <f t="shared" si="0"/>
        <v>2.2504196166992188</v>
      </c>
      <c r="E31" t="str">
        <f t="shared" si="1"/>
        <v/>
      </c>
      <c r="F31">
        <v>2</v>
      </c>
      <c r="G31" s="2">
        <v>1.5</v>
      </c>
      <c r="H31" t="s">
        <v>225</v>
      </c>
    </row>
    <row r="32" spans="1:8" x14ac:dyDescent="0.25">
      <c r="A32" t="s">
        <v>195</v>
      </c>
      <c r="B32">
        <v>20</v>
      </c>
      <c r="C32">
        <v>16.771116256713871</v>
      </c>
      <c r="D32">
        <f t="shared" si="0"/>
        <v>3.2288837432861293</v>
      </c>
      <c r="E32">
        <f t="shared" si="1"/>
        <v>4.0771484375E-2</v>
      </c>
      <c r="F32">
        <v>1</v>
      </c>
      <c r="G32" s="2">
        <v>1.5</v>
      </c>
      <c r="H32" t="s">
        <v>226</v>
      </c>
    </row>
    <row r="33" spans="1:8" x14ac:dyDescent="0.25">
      <c r="A33" t="s">
        <v>196</v>
      </c>
      <c r="B33">
        <v>20</v>
      </c>
      <c r="C33">
        <v>16.730344772338871</v>
      </c>
      <c r="D33">
        <f t="shared" si="0"/>
        <v>3.2696552276611293</v>
      </c>
      <c r="E33" t="str">
        <f t="shared" si="1"/>
        <v/>
      </c>
      <c r="F33">
        <v>1</v>
      </c>
      <c r="G33" s="2">
        <v>1.5</v>
      </c>
      <c r="H33" t="s">
        <v>226</v>
      </c>
    </row>
    <row r="34" spans="1:8" x14ac:dyDescent="0.25">
      <c r="A34" t="s">
        <v>197</v>
      </c>
      <c r="B34">
        <v>22</v>
      </c>
      <c r="C34">
        <v>24.775552749633789</v>
      </c>
      <c r="D34">
        <f t="shared" si="0"/>
        <v>2.7755527496337891</v>
      </c>
      <c r="E34">
        <f t="shared" si="1"/>
        <v>0.67360305786132813</v>
      </c>
      <c r="F34">
        <v>1</v>
      </c>
      <c r="G34" s="2">
        <v>1.5</v>
      </c>
      <c r="H34" t="s">
        <v>227</v>
      </c>
    </row>
    <row r="35" spans="1:8" x14ac:dyDescent="0.25">
      <c r="A35" t="s">
        <v>198</v>
      </c>
      <c r="B35">
        <v>22</v>
      </c>
      <c r="C35">
        <v>24.101949691772461</v>
      </c>
      <c r="D35">
        <f t="shared" si="0"/>
        <v>2.1019496917724609</v>
      </c>
      <c r="E35" t="str">
        <f t="shared" si="1"/>
        <v/>
      </c>
      <c r="F35">
        <v>1</v>
      </c>
      <c r="G35" s="2">
        <v>1.5</v>
      </c>
      <c r="H35" t="s">
        <v>227</v>
      </c>
    </row>
    <row r="36" spans="1:8" x14ac:dyDescent="0.25">
      <c r="A36" t="s">
        <v>199</v>
      </c>
      <c r="B36">
        <v>22</v>
      </c>
      <c r="C36">
        <v>18.794279098510739</v>
      </c>
      <c r="D36">
        <f t="shared" si="0"/>
        <v>3.2057209014892614</v>
      </c>
      <c r="E36">
        <f t="shared" si="1"/>
        <v>0.30698013305663707</v>
      </c>
      <c r="F36">
        <v>1</v>
      </c>
      <c r="G36" s="2">
        <v>1.5</v>
      </c>
      <c r="H36" t="s">
        <v>228</v>
      </c>
    </row>
    <row r="37" spans="1:8" x14ac:dyDescent="0.25">
      <c r="A37" t="s">
        <v>200</v>
      </c>
      <c r="B37">
        <v>22</v>
      </c>
      <c r="C37">
        <v>18.487298965454102</v>
      </c>
      <c r="D37">
        <f t="shared" si="0"/>
        <v>3.5127010345458984</v>
      </c>
      <c r="E37" t="str">
        <f t="shared" si="1"/>
        <v/>
      </c>
      <c r="F37">
        <v>1</v>
      </c>
      <c r="G37" s="2">
        <v>1.5</v>
      </c>
      <c r="H37" t="s">
        <v>228</v>
      </c>
    </row>
    <row r="38" spans="1:8" x14ac:dyDescent="0.25">
      <c r="A38" t="s">
        <v>201</v>
      </c>
      <c r="B38">
        <v>20</v>
      </c>
      <c r="C38">
        <v>20.233486175537109</v>
      </c>
      <c r="D38">
        <f t="shared" si="0"/>
        <v>0.23348617553710938</v>
      </c>
      <c r="E38">
        <f t="shared" si="1"/>
        <v>0.44202995300292969</v>
      </c>
      <c r="F38">
        <v>2</v>
      </c>
      <c r="G38" s="2">
        <v>1.5</v>
      </c>
      <c r="H38" t="s">
        <v>229</v>
      </c>
    </row>
    <row r="39" spans="1:8" x14ac:dyDescent="0.25">
      <c r="A39" t="s">
        <v>202</v>
      </c>
      <c r="B39">
        <v>20</v>
      </c>
      <c r="C39">
        <v>19.79145622253418</v>
      </c>
      <c r="D39">
        <f t="shared" si="0"/>
        <v>0.20854377746582031</v>
      </c>
      <c r="E39" t="str">
        <f t="shared" si="1"/>
        <v/>
      </c>
      <c r="F39">
        <v>2</v>
      </c>
      <c r="G39" s="2">
        <v>1.5</v>
      </c>
      <c r="H39" t="s">
        <v>229</v>
      </c>
    </row>
    <row r="40" spans="1:8" x14ac:dyDescent="0.25">
      <c r="A40" t="s">
        <v>203</v>
      </c>
      <c r="B40">
        <v>26</v>
      </c>
      <c r="C40">
        <v>25.92919921875</v>
      </c>
      <c r="D40">
        <f t="shared" si="0"/>
        <v>7.080078125E-2</v>
      </c>
      <c r="E40">
        <f t="shared" si="1"/>
        <v>1.8007602691650391</v>
      </c>
      <c r="F40">
        <v>2</v>
      </c>
      <c r="G40" s="2">
        <v>1.5</v>
      </c>
      <c r="H40" t="s">
        <v>230</v>
      </c>
    </row>
    <row r="41" spans="1:8" x14ac:dyDescent="0.25">
      <c r="A41" t="s">
        <v>204</v>
      </c>
      <c r="B41">
        <v>26</v>
      </c>
      <c r="C41">
        <v>27.729959487915039</v>
      </c>
      <c r="D41">
        <f t="shared" si="0"/>
        <v>1.7299594879150391</v>
      </c>
      <c r="E41" t="str">
        <f t="shared" si="1"/>
        <v/>
      </c>
      <c r="F41">
        <v>2</v>
      </c>
      <c r="G41" s="2">
        <v>1.5</v>
      </c>
      <c r="H41" t="s">
        <v>230</v>
      </c>
    </row>
  </sheetData>
  <phoneticPr fontId="2" type="noConversion"/>
  <conditionalFormatting sqref="E2:E41">
    <cfRule type="cellIs" dxfId="6" priority="1" operator="between">
      <formula>1000</formula>
      <formula>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1"/>
  <sheetViews>
    <sheetView topLeftCell="A105" workbookViewId="0">
      <selection activeCell="F127" sqref="F127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231</v>
      </c>
      <c r="G1" s="1" t="s">
        <v>232</v>
      </c>
      <c r="H1" s="1" t="s">
        <v>210</v>
      </c>
    </row>
    <row r="2" spans="1:8" ht="16.5" x14ac:dyDescent="0.25">
      <c r="A2" t="s">
        <v>3</v>
      </c>
      <c r="B2">
        <v>26</v>
      </c>
      <c r="C2">
        <v>26.29453277587891</v>
      </c>
      <c r="D2">
        <f>ABS(C2-B2)</f>
        <v>0.2945327758789098</v>
      </c>
      <c r="E2">
        <f>IF(MOD(ROW(),2)=0,ABS(C2-C3),"")</f>
        <v>2.4927921295166016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28.787324905395511</v>
      </c>
      <c r="D3">
        <f t="shared" ref="D3:D66" si="0">ABS(C3-B3)</f>
        <v>2.7873249053955114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27.707883834838871</v>
      </c>
      <c r="D4">
        <f t="shared" si="0"/>
        <v>1.7078838348388707</v>
      </c>
      <c r="E4">
        <f t="shared" si="1"/>
        <v>1.3779506683349609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26.32993316650391</v>
      </c>
      <c r="D5">
        <f t="shared" si="0"/>
        <v>0.3299331665039098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26.232070922851559</v>
      </c>
      <c r="D6">
        <f t="shared" si="0"/>
        <v>0.23207092285155895</v>
      </c>
      <c r="E6">
        <f t="shared" si="1"/>
        <v>0.44826889038085938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26.680339813232418</v>
      </c>
      <c r="D7">
        <f t="shared" si="0"/>
        <v>0.68033981323241832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27.539445877075199</v>
      </c>
      <c r="D8">
        <f t="shared" si="0"/>
        <v>1.5394458770751989</v>
      </c>
      <c r="E8">
        <f t="shared" si="1"/>
        <v>0.78709030151367898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26.75235557556152</v>
      </c>
      <c r="D9">
        <f t="shared" si="0"/>
        <v>0.75235557556151988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25.389129638671879</v>
      </c>
      <c r="D10">
        <f t="shared" si="0"/>
        <v>0.61087036132812145</v>
      </c>
      <c r="E10">
        <f t="shared" si="1"/>
        <v>2.7167701721191406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28.105899810791019</v>
      </c>
      <c r="D11">
        <f t="shared" si="0"/>
        <v>2.1058998107910192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28.267715454101559</v>
      </c>
      <c r="D12">
        <f t="shared" si="0"/>
        <v>2.2677154541015589</v>
      </c>
      <c r="E12">
        <f t="shared" si="1"/>
        <v>1.6548061370849574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26.612909317016602</v>
      </c>
      <c r="D13">
        <f t="shared" si="0"/>
        <v>0.61290931701660156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26.378437042236332</v>
      </c>
      <c r="D14">
        <f t="shared" si="0"/>
        <v>0.37843704223633168</v>
      </c>
      <c r="E14">
        <f t="shared" si="1"/>
        <v>5.8507919311530543E-2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26.319929122924801</v>
      </c>
      <c r="D15">
        <f t="shared" si="0"/>
        <v>0.31992912292480113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26.865373611450199</v>
      </c>
      <c r="D16">
        <f t="shared" si="0"/>
        <v>0.86537361145019887</v>
      </c>
      <c r="E16">
        <f t="shared" si="1"/>
        <v>1.1483516693115305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25.717021942138668</v>
      </c>
      <c r="D17">
        <f t="shared" si="0"/>
        <v>0.28297805786133168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26.14737701416016</v>
      </c>
      <c r="D18">
        <f t="shared" si="0"/>
        <v>0.1473770141601598</v>
      </c>
      <c r="E18">
        <f t="shared" si="1"/>
        <v>1.3460216522216797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24.80135536193848</v>
      </c>
      <c r="D19">
        <f t="shared" si="0"/>
        <v>1.1986446380615199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27.453556060791019</v>
      </c>
      <c r="D20">
        <f t="shared" si="0"/>
        <v>1.4535560607910192</v>
      </c>
      <c r="E20">
        <f t="shared" si="1"/>
        <v>1.6606712341308594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25.79288482666016</v>
      </c>
      <c r="D21">
        <f t="shared" si="0"/>
        <v>0.2071151733398402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26.44661712646484</v>
      </c>
      <c r="D22">
        <f t="shared" si="0"/>
        <v>0.4466171264648402</v>
      </c>
      <c r="E22">
        <f t="shared" si="1"/>
        <v>0.51816368103026988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25.92845344543457</v>
      </c>
      <c r="D23">
        <f t="shared" si="0"/>
        <v>7.1546554565429688E-2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28.395820617675781</v>
      </c>
      <c r="D24">
        <f t="shared" si="0"/>
        <v>2.3958206176757813</v>
      </c>
      <c r="E24">
        <f t="shared" si="1"/>
        <v>1.7576656341552699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26.638154983520511</v>
      </c>
      <c r="D25">
        <f t="shared" si="0"/>
        <v>0.63815498352051137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25.39925384521484</v>
      </c>
      <c r="D26">
        <f t="shared" si="0"/>
        <v>0.6007461547851598</v>
      </c>
      <c r="E26">
        <f t="shared" si="1"/>
        <v>1.1060104370117188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26.505264282226559</v>
      </c>
      <c r="D27">
        <f t="shared" si="0"/>
        <v>0.50526428222655895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27.73834228515625</v>
      </c>
      <c r="D28">
        <f t="shared" si="0"/>
        <v>1.73834228515625</v>
      </c>
      <c r="E28">
        <f t="shared" si="1"/>
        <v>9.2679977416988635E-2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27.645662307739261</v>
      </c>
      <c r="D29">
        <f t="shared" si="0"/>
        <v>1.6456623077392614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27.109905242919918</v>
      </c>
      <c r="D30">
        <f t="shared" si="0"/>
        <v>1.1099052429199183</v>
      </c>
      <c r="E30">
        <f t="shared" si="1"/>
        <v>0.10021018981932883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27.009695053100589</v>
      </c>
      <c r="D31">
        <f t="shared" si="0"/>
        <v>1.0096950531005895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27.410392761230469</v>
      </c>
      <c r="D32">
        <f t="shared" si="0"/>
        <v>1.4103927612304688</v>
      </c>
      <c r="E32">
        <f t="shared" si="1"/>
        <v>1.8173446655273473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25.593048095703121</v>
      </c>
      <c r="D33">
        <f t="shared" si="0"/>
        <v>0.40695190429687855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28.136789321899411</v>
      </c>
      <c r="D34">
        <f t="shared" si="0"/>
        <v>2.1367893218994105</v>
      </c>
      <c r="E34">
        <f t="shared" si="1"/>
        <v>1.4408092498779297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26.695980072021481</v>
      </c>
      <c r="D35">
        <f t="shared" si="0"/>
        <v>0.69598007202148082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26.47257041931152</v>
      </c>
      <c r="D36">
        <f t="shared" si="0"/>
        <v>0.47257041931151988</v>
      </c>
      <c r="E36">
        <f t="shared" si="1"/>
        <v>1.3936748504638707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27.866245269775391</v>
      </c>
      <c r="D37">
        <f t="shared" si="0"/>
        <v>1.8662452697753906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28.813861846923832</v>
      </c>
      <c r="D38">
        <f t="shared" si="0"/>
        <v>2.8138618469238317</v>
      </c>
      <c r="E38">
        <f t="shared" si="1"/>
        <v>2.1767272949218821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26.63713455200195</v>
      </c>
      <c r="D39">
        <f t="shared" si="0"/>
        <v>0.63713455200194957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27.84422492980957</v>
      </c>
      <c r="D40">
        <f t="shared" si="0"/>
        <v>1.8442249298095703</v>
      </c>
      <c r="E40">
        <f t="shared" si="1"/>
        <v>1.0201034545898402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28.864328384399411</v>
      </c>
      <c r="D41">
        <f t="shared" si="0"/>
        <v>2.8643283843994105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28.097148895263668</v>
      </c>
      <c r="D42">
        <f t="shared" si="0"/>
        <v>2.9028511047363317</v>
      </c>
      <c r="E42">
        <f t="shared" si="1"/>
        <v>1.4329967498779297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26.664152145385739</v>
      </c>
      <c r="D43">
        <f t="shared" si="0"/>
        <v>4.3358478546142614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27.072345733642582</v>
      </c>
      <c r="D44">
        <f t="shared" si="0"/>
        <v>3.9276542663574183</v>
      </c>
      <c r="E44">
        <f t="shared" si="1"/>
        <v>1.1478977203369212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25.924448013305661</v>
      </c>
      <c r="D45">
        <f t="shared" si="0"/>
        <v>5.0755519866943395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27.588474273681641</v>
      </c>
      <c r="D46">
        <f t="shared" si="0"/>
        <v>3.4115257263183594</v>
      </c>
      <c r="E46">
        <f t="shared" si="1"/>
        <v>1.2810707092285192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26.307403564453121</v>
      </c>
      <c r="D47">
        <f t="shared" si="0"/>
        <v>4.6925964355468786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27.509149551391602</v>
      </c>
      <c r="D48">
        <f t="shared" si="0"/>
        <v>3.4908504486083984</v>
      </c>
      <c r="E48">
        <f t="shared" si="1"/>
        <v>0.19145393371582031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27.317695617675781</v>
      </c>
      <c r="D49">
        <f t="shared" si="0"/>
        <v>3.6823043823242188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24.46511268615723</v>
      </c>
      <c r="D50">
        <f t="shared" si="0"/>
        <v>6.5348873138427699</v>
      </c>
      <c r="E50">
        <f t="shared" si="1"/>
        <v>2.6321430206298793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27.097255706787109</v>
      </c>
      <c r="D51">
        <f t="shared" si="0"/>
        <v>3.9027442932128906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24.960330963134769</v>
      </c>
      <c r="D52">
        <f t="shared" si="0"/>
        <v>6.0396690368652308</v>
      </c>
      <c r="E52">
        <f t="shared" si="1"/>
        <v>1.9539165496826101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26.914247512817379</v>
      </c>
      <c r="D53">
        <f t="shared" si="0"/>
        <v>4.0857524871826207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25.984371185302731</v>
      </c>
      <c r="D54">
        <f t="shared" si="0"/>
        <v>5.0156288146972692</v>
      </c>
      <c r="E54">
        <f t="shared" si="1"/>
        <v>0.80061912536621804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26.784990310668949</v>
      </c>
      <c r="D55">
        <f t="shared" si="0"/>
        <v>4.2150096893310511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25.114021301269531</v>
      </c>
      <c r="D56">
        <f t="shared" si="0"/>
        <v>5.8859786987304688</v>
      </c>
      <c r="E56">
        <f t="shared" si="1"/>
        <v>1.6318016052246094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26.745822906494141</v>
      </c>
      <c r="D57">
        <f t="shared" si="0"/>
        <v>4.2541770935058594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26.17281532287598</v>
      </c>
      <c r="D58">
        <f t="shared" si="0"/>
        <v>4.8271846771240199</v>
      </c>
      <c r="E58">
        <f t="shared" si="1"/>
        <v>0.63496589660644887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25.537849426269531</v>
      </c>
      <c r="D59">
        <f t="shared" si="0"/>
        <v>5.4621505737304688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26.619705200195309</v>
      </c>
      <c r="D60">
        <f t="shared" si="0"/>
        <v>4.3802947998046911</v>
      </c>
      <c r="E60">
        <f t="shared" si="1"/>
        <v>0.7430191040039098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27.362724304199219</v>
      </c>
      <c r="D61">
        <f t="shared" si="0"/>
        <v>3.6372756958007813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28.314510345458981</v>
      </c>
      <c r="D62">
        <f t="shared" si="0"/>
        <v>2.6854896545410192</v>
      </c>
      <c r="E62">
        <f t="shared" si="1"/>
        <v>1.8298721313476491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26.484638214111332</v>
      </c>
      <c r="D63">
        <f t="shared" si="0"/>
        <v>4.5153617858886683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27.144134521484379</v>
      </c>
      <c r="D64">
        <f t="shared" si="0"/>
        <v>3.8558654785156214</v>
      </c>
      <c r="E64">
        <f t="shared" si="1"/>
        <v>0.16197967529296875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26.98215484619141</v>
      </c>
      <c r="D65">
        <f t="shared" si="0"/>
        <v>4.0178451538085902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26.470943450927731</v>
      </c>
      <c r="D66">
        <f t="shared" si="0"/>
        <v>4.5290565490722692</v>
      </c>
      <c r="E66">
        <f t="shared" si="1"/>
        <v>0.36396980285644176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26.106973648071289</v>
      </c>
      <c r="D67">
        <f t="shared" ref="D67:D121" si="2">ABS(C67-B67)</f>
        <v>4.8930263519287109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24.9127311706543</v>
      </c>
      <c r="D68">
        <f t="shared" si="2"/>
        <v>6.0872688293456996</v>
      </c>
      <c r="E68">
        <f t="shared" si="3"/>
        <v>7.281875610350852E-2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24.985549926757809</v>
      </c>
      <c r="D69">
        <f t="shared" si="2"/>
        <v>6.0144500732421911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27.525905609130859</v>
      </c>
      <c r="D70">
        <f t="shared" si="2"/>
        <v>3.4740943908691406</v>
      </c>
      <c r="E70">
        <f t="shared" si="3"/>
        <v>0.57244873046875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28.098354339599609</v>
      </c>
      <c r="D71">
        <f t="shared" si="2"/>
        <v>2.9016456604003906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24.922670364379879</v>
      </c>
      <c r="D72">
        <f t="shared" si="2"/>
        <v>6.0773296356201207</v>
      </c>
      <c r="E72">
        <f t="shared" si="3"/>
        <v>0.89818191528321023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25.820852279663089</v>
      </c>
      <c r="D73">
        <f t="shared" si="2"/>
        <v>5.1791477203369105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24.238178253173832</v>
      </c>
      <c r="D74">
        <f t="shared" si="2"/>
        <v>6.7618217468261683</v>
      </c>
      <c r="E74">
        <f t="shared" si="3"/>
        <v>1.8430500030517578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26.081228256225589</v>
      </c>
      <c r="D75">
        <f t="shared" si="2"/>
        <v>4.9187717437744105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25.505825042724609</v>
      </c>
      <c r="D76">
        <f t="shared" si="2"/>
        <v>5.4941749572753906</v>
      </c>
      <c r="E76">
        <f t="shared" si="3"/>
        <v>1.2471618652343714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26.752986907958981</v>
      </c>
      <c r="D77">
        <f t="shared" si="2"/>
        <v>4.2470130920410192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27.449615478515621</v>
      </c>
      <c r="D78">
        <f t="shared" si="2"/>
        <v>3.5503845214843786</v>
      </c>
      <c r="E78">
        <f t="shared" si="3"/>
        <v>1.1880397796630824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26.261575698852539</v>
      </c>
      <c r="D79">
        <f t="shared" si="2"/>
        <v>4.7384243011474609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27.06645584106445</v>
      </c>
      <c r="D80">
        <f t="shared" si="2"/>
        <v>3.9335441589355504</v>
      </c>
      <c r="E80">
        <f t="shared" si="3"/>
        <v>1.6962108612060511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25.370244979858398</v>
      </c>
      <c r="D81">
        <f t="shared" si="2"/>
        <v>5.6297550201416016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27.441463470458981</v>
      </c>
      <c r="D82">
        <f t="shared" si="2"/>
        <v>2.5585365295410192</v>
      </c>
      <c r="E82">
        <f t="shared" si="3"/>
        <v>0.6658172607421875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28.107280731201168</v>
      </c>
      <c r="D83">
        <f t="shared" si="2"/>
        <v>1.8927192687988317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26.373849868774411</v>
      </c>
      <c r="D84">
        <f t="shared" si="2"/>
        <v>3.6261501312255895</v>
      </c>
      <c r="E84">
        <f t="shared" si="3"/>
        <v>0.41438102722167969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26.78823089599609</v>
      </c>
      <c r="D85">
        <f t="shared" si="2"/>
        <v>3.2117691040039098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29.703020095825199</v>
      </c>
      <c r="D86">
        <f t="shared" si="2"/>
        <v>0.29697990417480113</v>
      </c>
      <c r="E86">
        <f t="shared" si="3"/>
        <v>1.9435749053955078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27.759445190429691</v>
      </c>
      <c r="D87">
        <f t="shared" si="2"/>
        <v>2.2405548095703089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27.59016036987305</v>
      </c>
      <c r="D88">
        <f t="shared" si="2"/>
        <v>2.4098396301269496</v>
      </c>
      <c r="E88">
        <f t="shared" si="3"/>
        <v>7.3814392089808223E-3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27.597541809082031</v>
      </c>
      <c r="D89">
        <f t="shared" si="2"/>
        <v>2.4024581909179688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26.096616744995121</v>
      </c>
      <c r="D90">
        <f t="shared" si="2"/>
        <v>3.9033832550048793</v>
      </c>
      <c r="E90">
        <f t="shared" si="3"/>
        <v>1.3196163177490199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27.416233062744141</v>
      </c>
      <c r="D91">
        <f t="shared" si="2"/>
        <v>2.5837669372558594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27.574872970581051</v>
      </c>
      <c r="D92">
        <f t="shared" si="2"/>
        <v>2.4251270294189489</v>
      </c>
      <c r="E92">
        <f t="shared" si="3"/>
        <v>0.92249488830566762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28.497367858886719</v>
      </c>
      <c r="D93">
        <f t="shared" si="2"/>
        <v>1.5026321411132813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27.296096801757809</v>
      </c>
      <c r="D94">
        <f t="shared" si="2"/>
        <v>2.7039031982421911</v>
      </c>
      <c r="E94">
        <f t="shared" si="3"/>
        <v>0.28773880004882813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27.008358001708981</v>
      </c>
      <c r="D95">
        <f t="shared" si="2"/>
        <v>2.9916419982910192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27.43547439575195</v>
      </c>
      <c r="D96">
        <f t="shared" si="2"/>
        <v>2.5645256042480504</v>
      </c>
      <c r="E96">
        <f t="shared" si="3"/>
        <v>0.49783134460449929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27.933305740356449</v>
      </c>
      <c r="D97">
        <f t="shared" si="2"/>
        <v>2.0666942596435511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27.829416275024411</v>
      </c>
      <c r="D98">
        <f t="shared" si="2"/>
        <v>2.1705837249755895</v>
      </c>
      <c r="E98">
        <f t="shared" si="3"/>
        <v>0.35906600952148793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28.188482284545898</v>
      </c>
      <c r="D99">
        <f t="shared" si="2"/>
        <v>1.8115177154541016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28.306875228881839</v>
      </c>
      <c r="D100">
        <f t="shared" si="2"/>
        <v>1.6931247711181605</v>
      </c>
      <c r="E100">
        <f t="shared" si="3"/>
        <v>0.20952415466307883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28.516399383544918</v>
      </c>
      <c r="D101">
        <f t="shared" si="2"/>
        <v>1.4836006164550817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29.356536865234379</v>
      </c>
      <c r="D102">
        <f t="shared" si="2"/>
        <v>0.64346313476562145</v>
      </c>
      <c r="E102">
        <f t="shared" si="3"/>
        <v>1.556173324584968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27.800363540649411</v>
      </c>
      <c r="D103">
        <f t="shared" si="2"/>
        <v>2.1996364593505895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26.63553619384766</v>
      </c>
      <c r="D104">
        <f t="shared" si="2"/>
        <v>3.3644638061523402</v>
      </c>
      <c r="E104">
        <f t="shared" si="3"/>
        <v>0.34633064270019887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26.289205551147461</v>
      </c>
      <c r="D105">
        <f t="shared" si="2"/>
        <v>3.7107944488525391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27.2402229309082</v>
      </c>
      <c r="D106">
        <f t="shared" si="2"/>
        <v>2.7597770690918004</v>
      </c>
      <c r="E106">
        <f t="shared" si="3"/>
        <v>0.37679100036621094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26.863431930541989</v>
      </c>
      <c r="D107">
        <f t="shared" si="2"/>
        <v>3.1365680694580114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26.94931602478027</v>
      </c>
      <c r="D108">
        <f t="shared" si="2"/>
        <v>3.0506839752197301</v>
      </c>
      <c r="E108">
        <f t="shared" si="3"/>
        <v>1.8915081024169886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25.057807922363281</v>
      </c>
      <c r="D109">
        <f t="shared" si="2"/>
        <v>4.9421920776367188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28.88886642456055</v>
      </c>
      <c r="D110">
        <f t="shared" si="2"/>
        <v>1.1111335754394496</v>
      </c>
      <c r="E110">
        <f t="shared" si="3"/>
        <v>0.7749404907226598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28.113925933837891</v>
      </c>
      <c r="D111">
        <f t="shared" si="2"/>
        <v>1.8860740661621094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26.610811233520511</v>
      </c>
      <c r="D112">
        <f t="shared" si="2"/>
        <v>3.3891887664794886</v>
      </c>
      <c r="E112">
        <f t="shared" si="3"/>
        <v>1.139169692993157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27.749980926513668</v>
      </c>
      <c r="D113">
        <f t="shared" si="2"/>
        <v>2.2500190734863317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28.75693511962891</v>
      </c>
      <c r="D114">
        <f t="shared" si="2"/>
        <v>1.2430648803710902</v>
      </c>
      <c r="E114">
        <f t="shared" si="3"/>
        <v>0.61558151245117898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28.141353607177731</v>
      </c>
      <c r="D115">
        <f t="shared" si="2"/>
        <v>1.8586463928222692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25.808185577392582</v>
      </c>
      <c r="D116">
        <f t="shared" si="2"/>
        <v>4.1918144226074183</v>
      </c>
      <c r="E116">
        <f t="shared" si="3"/>
        <v>1.0006465911865199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26.808832168579102</v>
      </c>
      <c r="D117">
        <f t="shared" si="2"/>
        <v>3.1911678314208984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28.321498870849609</v>
      </c>
      <c r="D118">
        <f t="shared" si="2"/>
        <v>1.6785011291503906</v>
      </c>
      <c r="E118">
        <f t="shared" si="3"/>
        <v>0.36152267456055043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27.959976196289059</v>
      </c>
      <c r="D119">
        <f t="shared" si="2"/>
        <v>2.0400238037109411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26.662483215332031</v>
      </c>
      <c r="D120">
        <f t="shared" si="2"/>
        <v>3.3375167846679688</v>
      </c>
      <c r="E120">
        <f t="shared" si="3"/>
        <v>1.8543434143066371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28.516826629638668</v>
      </c>
      <c r="D121">
        <f t="shared" si="2"/>
        <v>1.4831733703613317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5" priority="1" operator="between">
      <formula>1000</formula>
      <formula>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topLeftCell="A28" workbookViewId="0">
      <selection activeCell="F47" sqref="F47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7" max="7" width="9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231</v>
      </c>
      <c r="G1" s="1" t="s">
        <v>232</v>
      </c>
      <c r="H1" s="1" t="s">
        <v>210</v>
      </c>
    </row>
    <row r="2" spans="1:8" x14ac:dyDescent="0.25">
      <c r="A2" t="s">
        <v>123</v>
      </c>
      <c r="B2">
        <v>28</v>
      </c>
      <c r="C2">
        <v>29.942094802856449</v>
      </c>
      <c r="D2">
        <f>ABS(C2-B2)</f>
        <v>1.9420948028564489</v>
      </c>
      <c r="E2">
        <f>IF(COUNTIF($H:$H,H2)=2,ABS(C2-_xlfn.XLOOKUP(H2,$H:$H,$C:$C,"",0,-1)),"")</f>
        <v>1.5782089233398402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31.520303726196289</v>
      </c>
      <c r="D3">
        <f t="shared" ref="D3:D43" si="0">ABS(C3-B3)</f>
        <v>3.5203037261962891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30.661647796630859</v>
      </c>
      <c r="D4">
        <f t="shared" si="0"/>
        <v>0.66164779663085938</v>
      </c>
      <c r="E4">
        <f t="shared" si="1"/>
        <v>0.3175735473632777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30.344074249267582</v>
      </c>
      <c r="D5">
        <f t="shared" si="0"/>
        <v>0.34407424926758168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35.478496551513672</v>
      </c>
      <c r="D6">
        <f t="shared" si="0"/>
        <v>7.4784965515136719</v>
      </c>
      <c r="E6">
        <f t="shared" si="1"/>
        <v>0.83356475830078125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34.644931793212891</v>
      </c>
      <c r="D7">
        <f t="shared" si="0"/>
        <v>6.6449317932128906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25.20687294006348</v>
      </c>
      <c r="D8">
        <f t="shared" si="0"/>
        <v>0.79312705993651988</v>
      </c>
      <c r="E8">
        <f t="shared" si="1"/>
        <v>0.24347877502441051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25.450351715087891</v>
      </c>
      <c r="D9">
        <f t="shared" si="0"/>
        <v>0.54964828491210938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23.963871002197269</v>
      </c>
      <c r="D10">
        <f t="shared" si="0"/>
        <v>1.9638710021972692</v>
      </c>
      <c r="E10">
        <f t="shared" si="1"/>
        <v>0.54811477661132813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23.415756225585941</v>
      </c>
      <c r="D11">
        <f t="shared" si="0"/>
        <v>1.4157562255859411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28.543069839477539</v>
      </c>
      <c r="D12">
        <f t="shared" si="0"/>
        <v>2.5430698394775391</v>
      </c>
      <c r="E12">
        <f t="shared" si="1"/>
        <v>4.799079895019176E-2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28.591060638427731</v>
      </c>
      <c r="D13">
        <f t="shared" si="0"/>
        <v>2.5910606384277308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29.05953216552734</v>
      </c>
      <c r="D14">
        <f t="shared" si="0"/>
        <v>3.0595321655273402</v>
      </c>
      <c r="E14">
        <f t="shared" si="1"/>
        <v>0.82723045349121094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29.886762619018551</v>
      </c>
      <c r="D15">
        <f t="shared" si="0"/>
        <v>3.8867626190185511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55.688877105712891</v>
      </c>
      <c r="D16">
        <f t="shared" si="0"/>
        <v>32.688877105712891</v>
      </c>
      <c r="E16">
        <f t="shared" si="1"/>
        <v>0.35919189453125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55.329685211181641</v>
      </c>
      <c r="D17">
        <f t="shared" si="0"/>
        <v>32.329685211181641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48.688549041748047</v>
      </c>
      <c r="D18">
        <f t="shared" si="0"/>
        <v>6.6885490417480469</v>
      </c>
      <c r="E18">
        <f t="shared" si="1"/>
        <v>1.4336509704589844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50.122200012207031</v>
      </c>
      <c r="D19">
        <f t="shared" si="0"/>
        <v>8.1222000122070313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31.06096267700195</v>
      </c>
      <c r="D20">
        <f t="shared" si="0"/>
        <v>0.93903732299805043</v>
      </c>
      <c r="E20">
        <f t="shared" si="1"/>
        <v>9.372711181640625E-3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31.051589965820309</v>
      </c>
      <c r="D21">
        <f t="shared" si="0"/>
        <v>0.94841003417969105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28.00308990478516</v>
      </c>
      <c r="D22">
        <f t="shared" si="0"/>
        <v>1.9969100952148402</v>
      </c>
      <c r="E22">
        <f t="shared" si="1"/>
        <v>0.77014541625975852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28.773235321044918</v>
      </c>
      <c r="D23">
        <f t="shared" si="0"/>
        <v>1.2267646789550817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33.65130615234375</v>
      </c>
      <c r="D24">
        <f t="shared" si="0"/>
        <v>15.34869384765625</v>
      </c>
      <c r="E24">
        <f t="shared" si="1"/>
        <v>2.2852706909179688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35.936576843261719</v>
      </c>
      <c r="D25">
        <f t="shared" si="0"/>
        <v>13.063423156738281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27.234138488769531</v>
      </c>
      <c r="D26">
        <f t="shared" si="0"/>
        <v>1.7658615112304688</v>
      </c>
      <c r="E26">
        <f t="shared" si="1"/>
        <v>1.5847206115722692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28.8188591003418</v>
      </c>
      <c r="D27">
        <f t="shared" si="0"/>
        <v>0.18114089965819957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33.844474792480469</v>
      </c>
      <c r="D28">
        <f t="shared" si="0"/>
        <v>0.15552520751953125</v>
      </c>
      <c r="E28">
        <f t="shared" si="1"/>
        <v>1.1276588439941406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32.716815948486328</v>
      </c>
      <c r="D29">
        <f t="shared" si="0"/>
        <v>1.2831840515136719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39.950176239013672</v>
      </c>
      <c r="D30">
        <f t="shared" si="0"/>
        <v>1.9501762390136719</v>
      </c>
      <c r="E30">
        <f t="shared" si="1"/>
        <v>0.75174331665039063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39.198432922363281</v>
      </c>
      <c r="D31">
        <f t="shared" si="0"/>
        <v>1.1984329223632813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23.82241058349609</v>
      </c>
      <c r="D32">
        <f t="shared" si="0"/>
        <v>1.1775894165039098</v>
      </c>
      <c r="E32">
        <f t="shared" si="1"/>
        <v>3.4446792602539098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27.26708984375</v>
      </c>
      <c r="D33">
        <f t="shared" si="0"/>
        <v>2.26708984375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28.330442428588871</v>
      </c>
      <c r="D34">
        <f t="shared" si="0"/>
        <v>3.3304424285888707</v>
      </c>
      <c r="E34">
        <f t="shared" si="1"/>
        <v>2.3506412506103516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25.979801177978519</v>
      </c>
      <c r="D35">
        <f t="shared" si="0"/>
        <v>0.97980117797851918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29.726806640625</v>
      </c>
      <c r="D36">
        <f t="shared" si="0"/>
        <v>4.726806640625</v>
      </c>
      <c r="E36">
        <f t="shared" si="1"/>
        <v>0.99767303466796875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30.724479675292969</v>
      </c>
      <c r="D37">
        <f t="shared" si="0"/>
        <v>5.7244796752929688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24.679538726806641</v>
      </c>
      <c r="D38">
        <f t="shared" si="0"/>
        <v>5.3204612731933594</v>
      </c>
      <c r="E38">
        <f t="shared" si="1"/>
        <v>1.7330036163330078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26.412542343139648</v>
      </c>
      <c r="D39">
        <f t="shared" si="0"/>
        <v>3.5874576568603516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58.891002655029297</v>
      </c>
      <c r="D40">
        <f t="shared" si="0"/>
        <v>2.1089973449707031</v>
      </c>
      <c r="E40">
        <f t="shared" si="1"/>
        <v>0.33144378662109375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59.222446441650391</v>
      </c>
      <c r="D41">
        <f t="shared" si="0"/>
        <v>1.7775535583496094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33.141819000244141</v>
      </c>
      <c r="D42">
        <f t="shared" si="0"/>
        <v>4.8581809997558594</v>
      </c>
      <c r="E42">
        <f t="shared" si="1"/>
        <v>0.36160659790039063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32.78021240234375</v>
      </c>
      <c r="D43">
        <f t="shared" si="0"/>
        <v>5.21978759765625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4" priority="1" operator="between">
      <formula>1000</formula>
      <formula>6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topLeftCell="A19" workbookViewId="0">
      <selection activeCell="D42" sqref="D42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208</v>
      </c>
      <c r="G1" s="1" t="s">
        <v>209</v>
      </c>
      <c r="H1" s="1" t="s">
        <v>210</v>
      </c>
    </row>
    <row r="2" spans="1:8" x14ac:dyDescent="0.25">
      <c r="A2" t="s">
        <v>165</v>
      </c>
      <c r="B2">
        <v>20</v>
      </c>
      <c r="C2">
        <v>18.613998413085941</v>
      </c>
      <c r="D2">
        <f>ABS(C2-B2)</f>
        <v>1.3860015869140589</v>
      </c>
      <c r="E2">
        <f>IF(RIGHT(A2,3)="MR1",ABS(C2-_xlfn.XLOOKUP(SUBSTITUTE(A2,"_MR1","_MR2"),$A:$A,$C:$C)),"")</f>
        <v>0.71681594848632813</v>
      </c>
      <c r="F2">
        <v>2</v>
      </c>
      <c r="G2" s="2">
        <v>1.5</v>
      </c>
      <c r="H2" t="s">
        <v>211</v>
      </c>
    </row>
    <row r="3" spans="1:8" x14ac:dyDescent="0.25">
      <c r="A3" t="s">
        <v>166</v>
      </c>
      <c r="B3">
        <v>20</v>
      </c>
      <c r="C3">
        <v>19.330814361572269</v>
      </c>
      <c r="D3">
        <f t="shared" ref="D3:D41" si="0">ABS(C3-B3)</f>
        <v>0.66918563842773082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211</v>
      </c>
    </row>
    <row r="4" spans="1:8" x14ac:dyDescent="0.25">
      <c r="A4" t="s">
        <v>167</v>
      </c>
      <c r="B4">
        <v>25</v>
      </c>
      <c r="C4">
        <v>22.321273803710941</v>
      </c>
      <c r="D4">
        <f t="shared" si="0"/>
        <v>2.6787261962890589</v>
      </c>
      <c r="E4">
        <f t="shared" si="1"/>
        <v>0.63787269592285156</v>
      </c>
      <c r="F4">
        <v>2</v>
      </c>
      <c r="G4" s="2">
        <v>1.5</v>
      </c>
      <c r="H4" t="s">
        <v>212</v>
      </c>
    </row>
    <row r="5" spans="1:8" x14ac:dyDescent="0.25">
      <c r="A5" t="s">
        <v>168</v>
      </c>
      <c r="B5">
        <v>25</v>
      </c>
      <c r="C5">
        <v>21.683401107788089</v>
      </c>
      <c r="D5">
        <f t="shared" si="0"/>
        <v>3.3165988922119105</v>
      </c>
      <c r="E5" t="str">
        <f t="shared" si="1"/>
        <v/>
      </c>
      <c r="F5">
        <v>2</v>
      </c>
      <c r="G5" s="2">
        <v>1.5</v>
      </c>
      <c r="H5" t="s">
        <v>212</v>
      </c>
    </row>
    <row r="6" spans="1:8" x14ac:dyDescent="0.25">
      <c r="A6" t="s">
        <v>169</v>
      </c>
      <c r="B6">
        <v>22</v>
      </c>
      <c r="C6">
        <v>22.456022262573239</v>
      </c>
      <c r="D6">
        <f t="shared" si="0"/>
        <v>0.45602226257323863</v>
      </c>
      <c r="E6">
        <f t="shared" si="1"/>
        <v>0.20927047729492188</v>
      </c>
      <c r="F6">
        <v>1</v>
      </c>
      <c r="G6" s="2">
        <v>1.5</v>
      </c>
      <c r="H6" t="s">
        <v>213</v>
      </c>
    </row>
    <row r="7" spans="1:8" x14ac:dyDescent="0.25">
      <c r="A7" t="s">
        <v>170</v>
      </c>
      <c r="B7">
        <v>22</v>
      </c>
      <c r="C7">
        <v>22.665292739868161</v>
      </c>
      <c r="D7">
        <f t="shared" si="0"/>
        <v>0.66529273986816051</v>
      </c>
      <c r="E7" t="str">
        <f t="shared" si="1"/>
        <v/>
      </c>
      <c r="F7">
        <v>1</v>
      </c>
      <c r="G7" s="2">
        <v>1.5</v>
      </c>
      <c r="H7" t="s">
        <v>213</v>
      </c>
    </row>
    <row r="8" spans="1:8" x14ac:dyDescent="0.25">
      <c r="A8" t="s">
        <v>171</v>
      </c>
      <c r="B8">
        <v>29</v>
      </c>
      <c r="C8">
        <v>29.071784973144531</v>
      </c>
      <c r="D8">
        <f t="shared" si="0"/>
        <v>7.178497314453125E-2</v>
      </c>
      <c r="E8">
        <f t="shared" si="1"/>
        <v>0.59987831115723012</v>
      </c>
      <c r="F8">
        <v>1</v>
      </c>
      <c r="G8" s="2">
        <v>1.5</v>
      </c>
      <c r="H8" t="s">
        <v>214</v>
      </c>
    </row>
    <row r="9" spans="1:8" x14ac:dyDescent="0.25">
      <c r="A9" t="s">
        <v>172</v>
      </c>
      <c r="B9">
        <v>29</v>
      </c>
      <c r="C9">
        <v>28.471906661987301</v>
      </c>
      <c r="D9">
        <f t="shared" si="0"/>
        <v>0.52809333801269887</v>
      </c>
      <c r="E9" t="str">
        <f t="shared" si="1"/>
        <v/>
      </c>
      <c r="F9">
        <v>1</v>
      </c>
      <c r="G9" s="2">
        <v>1.5</v>
      </c>
      <c r="H9" t="s">
        <v>214</v>
      </c>
    </row>
    <row r="10" spans="1:8" x14ac:dyDescent="0.25">
      <c r="A10" t="s">
        <v>173</v>
      </c>
      <c r="B10">
        <v>23</v>
      </c>
      <c r="C10">
        <v>18.273708343505859</v>
      </c>
      <c r="D10">
        <f t="shared" si="0"/>
        <v>4.7262916564941406</v>
      </c>
      <c r="E10">
        <f t="shared" si="1"/>
        <v>1.0985240936279297</v>
      </c>
      <c r="F10">
        <v>1</v>
      </c>
      <c r="G10" s="2">
        <v>1.5</v>
      </c>
      <c r="H10" t="s">
        <v>215</v>
      </c>
    </row>
    <row r="11" spans="1:8" x14ac:dyDescent="0.25">
      <c r="A11" t="s">
        <v>174</v>
      </c>
      <c r="B11">
        <v>23</v>
      </c>
      <c r="C11">
        <v>17.17518424987793</v>
      </c>
      <c r="D11">
        <f t="shared" si="0"/>
        <v>5.8248157501220703</v>
      </c>
      <c r="E11" t="str">
        <f t="shared" si="1"/>
        <v/>
      </c>
      <c r="F11">
        <v>1</v>
      </c>
      <c r="G11" s="2">
        <v>1.5</v>
      </c>
      <c r="H11" t="s">
        <v>215</v>
      </c>
    </row>
    <row r="12" spans="1:8" x14ac:dyDescent="0.25">
      <c r="A12" t="s">
        <v>175</v>
      </c>
      <c r="B12">
        <v>25</v>
      </c>
      <c r="C12">
        <v>18.866201400756839</v>
      </c>
      <c r="D12">
        <f t="shared" si="0"/>
        <v>6.1337985992431605</v>
      </c>
      <c r="E12">
        <f t="shared" si="1"/>
        <v>1.5497493743896484</v>
      </c>
      <c r="F12">
        <v>1</v>
      </c>
      <c r="G12" s="2">
        <v>1.5</v>
      </c>
      <c r="H12" t="s">
        <v>216</v>
      </c>
    </row>
    <row r="13" spans="1:8" x14ac:dyDescent="0.25">
      <c r="A13" t="s">
        <v>176</v>
      </c>
      <c r="B13">
        <v>25</v>
      </c>
      <c r="C13">
        <v>17.316452026367191</v>
      </c>
      <c r="D13">
        <f t="shared" si="0"/>
        <v>7.6835479736328089</v>
      </c>
      <c r="E13" t="str">
        <f t="shared" si="1"/>
        <v/>
      </c>
      <c r="F13">
        <v>1</v>
      </c>
      <c r="G13" s="2">
        <v>1.5</v>
      </c>
      <c r="H13" t="s">
        <v>216</v>
      </c>
    </row>
    <row r="14" spans="1:8" x14ac:dyDescent="0.25">
      <c r="A14" t="s">
        <v>177</v>
      </c>
      <c r="B14">
        <v>34</v>
      </c>
      <c r="C14">
        <v>35.473590850830078</v>
      </c>
      <c r="D14">
        <f t="shared" si="0"/>
        <v>1.4735908508300781</v>
      </c>
      <c r="E14">
        <f t="shared" si="1"/>
        <v>3.186248779296875</v>
      </c>
      <c r="F14">
        <v>1</v>
      </c>
      <c r="G14" s="2">
        <v>1.5</v>
      </c>
      <c r="H14" t="s">
        <v>217</v>
      </c>
    </row>
    <row r="15" spans="1:8" x14ac:dyDescent="0.25">
      <c r="A15" t="s">
        <v>178</v>
      </c>
      <c r="B15">
        <v>34</v>
      </c>
      <c r="C15">
        <v>32.287342071533203</v>
      </c>
      <c r="D15">
        <f t="shared" si="0"/>
        <v>1.7126579284667969</v>
      </c>
      <c r="E15" t="str">
        <f t="shared" si="1"/>
        <v/>
      </c>
      <c r="F15">
        <v>1</v>
      </c>
      <c r="G15" s="2">
        <v>1.5</v>
      </c>
      <c r="H15" t="s">
        <v>217</v>
      </c>
    </row>
    <row r="16" spans="1:8" x14ac:dyDescent="0.25">
      <c r="A16" t="s">
        <v>179</v>
      </c>
      <c r="B16">
        <v>20</v>
      </c>
      <c r="C16">
        <v>13.979647636413571</v>
      </c>
      <c r="D16">
        <f t="shared" si="0"/>
        <v>6.0203523635864293</v>
      </c>
      <c r="E16">
        <f t="shared" si="1"/>
        <v>0.95931529998780007</v>
      </c>
      <c r="F16">
        <v>2</v>
      </c>
      <c r="G16" s="2">
        <v>1.5</v>
      </c>
      <c r="H16" t="s">
        <v>218</v>
      </c>
    </row>
    <row r="17" spans="1:8" x14ac:dyDescent="0.25">
      <c r="A17" t="s">
        <v>180</v>
      </c>
      <c r="B17">
        <v>20</v>
      </c>
      <c r="C17">
        <v>14.938962936401371</v>
      </c>
      <c r="D17">
        <f t="shared" si="0"/>
        <v>5.0610370635986293</v>
      </c>
      <c r="E17" t="str">
        <f t="shared" si="1"/>
        <v/>
      </c>
      <c r="F17">
        <v>2</v>
      </c>
      <c r="G17" s="2">
        <v>1.5</v>
      </c>
      <c r="H17" t="s">
        <v>218</v>
      </c>
    </row>
    <row r="18" spans="1:8" x14ac:dyDescent="0.25">
      <c r="A18" t="s">
        <v>181</v>
      </c>
      <c r="B18">
        <v>20</v>
      </c>
      <c r="C18">
        <v>19.98933029174805</v>
      </c>
      <c r="D18">
        <f t="shared" si="0"/>
        <v>1.0669708251949572E-2</v>
      </c>
      <c r="E18">
        <f t="shared" si="1"/>
        <v>0.35152053833007102</v>
      </c>
      <c r="F18">
        <v>2</v>
      </c>
      <c r="G18" s="2">
        <v>1.5</v>
      </c>
      <c r="H18" t="s">
        <v>219</v>
      </c>
    </row>
    <row r="19" spans="1:8" x14ac:dyDescent="0.25">
      <c r="A19" t="s">
        <v>182</v>
      </c>
      <c r="B19">
        <v>20</v>
      </c>
      <c r="C19">
        <v>20.340850830078121</v>
      </c>
      <c r="D19">
        <f t="shared" si="0"/>
        <v>0.34085083007812145</v>
      </c>
      <c r="E19" t="str">
        <f t="shared" si="1"/>
        <v/>
      </c>
      <c r="F19">
        <v>2</v>
      </c>
      <c r="G19" s="2">
        <v>1.5</v>
      </c>
      <c r="H19" t="s">
        <v>219</v>
      </c>
    </row>
    <row r="20" spans="1:8" x14ac:dyDescent="0.25">
      <c r="A20" t="s">
        <v>183</v>
      </c>
      <c r="B20">
        <v>21</v>
      </c>
      <c r="C20">
        <v>20.451835632324219</v>
      </c>
      <c r="D20">
        <f t="shared" si="0"/>
        <v>0.54816436767578125</v>
      </c>
      <c r="E20">
        <f t="shared" si="1"/>
        <v>1.2251472473144496</v>
      </c>
      <c r="F20">
        <v>2</v>
      </c>
      <c r="G20" s="2">
        <v>1.5</v>
      </c>
      <c r="H20" t="s">
        <v>220</v>
      </c>
    </row>
    <row r="21" spans="1:8" x14ac:dyDescent="0.25">
      <c r="A21" t="s">
        <v>184</v>
      </c>
      <c r="B21">
        <v>21</v>
      </c>
      <c r="C21">
        <v>21.676982879638668</v>
      </c>
      <c r="D21">
        <f t="shared" si="0"/>
        <v>0.67698287963866832</v>
      </c>
      <c r="E21" t="str">
        <f t="shared" si="1"/>
        <v/>
      </c>
      <c r="F21">
        <v>2</v>
      </c>
      <c r="G21" s="2">
        <v>1.5</v>
      </c>
      <c r="H21" t="s">
        <v>220</v>
      </c>
    </row>
    <row r="22" spans="1:8" x14ac:dyDescent="0.25">
      <c r="A22" t="s">
        <v>185</v>
      </c>
      <c r="B22">
        <v>23</v>
      </c>
      <c r="C22">
        <v>21.96125602722168</v>
      </c>
      <c r="D22">
        <f t="shared" si="0"/>
        <v>1.0387439727783203</v>
      </c>
      <c r="E22">
        <f t="shared" si="1"/>
        <v>1.3580684661865199</v>
      </c>
      <c r="F22">
        <v>2</v>
      </c>
      <c r="G22" s="2">
        <v>1.5</v>
      </c>
      <c r="H22" t="s">
        <v>221</v>
      </c>
    </row>
    <row r="23" spans="1:8" x14ac:dyDescent="0.25">
      <c r="A23" t="s">
        <v>186</v>
      </c>
      <c r="B23">
        <v>23</v>
      </c>
      <c r="C23">
        <v>20.60318756103516</v>
      </c>
      <c r="D23">
        <f t="shared" si="0"/>
        <v>2.3968124389648402</v>
      </c>
      <c r="E23" t="str">
        <f t="shared" si="1"/>
        <v/>
      </c>
      <c r="F23">
        <v>2</v>
      </c>
      <c r="G23" s="2">
        <v>1.5</v>
      </c>
      <c r="H23" t="s">
        <v>221</v>
      </c>
    </row>
    <row r="24" spans="1:8" x14ac:dyDescent="0.25">
      <c r="A24" t="s">
        <v>187</v>
      </c>
      <c r="B24">
        <v>19</v>
      </c>
      <c r="C24">
        <v>24.07955169677734</v>
      </c>
      <c r="D24">
        <f t="shared" si="0"/>
        <v>5.0795516967773402</v>
      </c>
      <c r="E24">
        <f t="shared" si="1"/>
        <v>0.28135299682617188</v>
      </c>
      <c r="F24">
        <v>2</v>
      </c>
      <c r="G24" s="2">
        <v>1.5</v>
      </c>
      <c r="H24" t="s">
        <v>222</v>
      </c>
    </row>
    <row r="25" spans="1:8" x14ac:dyDescent="0.25">
      <c r="A25" t="s">
        <v>188</v>
      </c>
      <c r="B25">
        <v>19</v>
      </c>
      <c r="C25">
        <v>23.798198699951168</v>
      </c>
      <c r="D25">
        <f t="shared" si="0"/>
        <v>4.7981986999511683</v>
      </c>
      <c r="E25" t="str">
        <f t="shared" si="1"/>
        <v/>
      </c>
      <c r="F25">
        <v>2</v>
      </c>
      <c r="G25" s="2">
        <v>1.5</v>
      </c>
      <c r="H25" t="s">
        <v>222</v>
      </c>
    </row>
    <row r="26" spans="1:8" x14ac:dyDescent="0.25">
      <c r="A26" t="s">
        <v>189</v>
      </c>
      <c r="B26">
        <v>20</v>
      </c>
      <c r="C26">
        <v>15.010661125183111</v>
      </c>
      <c r="D26">
        <f t="shared" si="0"/>
        <v>4.9893388748168892</v>
      </c>
      <c r="E26">
        <f t="shared" si="1"/>
        <v>0.63322353363036932</v>
      </c>
      <c r="F26">
        <v>2</v>
      </c>
      <c r="G26" s="2">
        <v>1.5</v>
      </c>
      <c r="H26" t="s">
        <v>223</v>
      </c>
    </row>
    <row r="27" spans="1:8" x14ac:dyDescent="0.25">
      <c r="A27" t="s">
        <v>190</v>
      </c>
      <c r="B27">
        <v>20</v>
      </c>
      <c r="C27">
        <v>15.64388465881348</v>
      </c>
      <c r="D27">
        <f t="shared" si="0"/>
        <v>4.3561153411865199</v>
      </c>
      <c r="E27" t="str">
        <f t="shared" si="1"/>
        <v/>
      </c>
      <c r="F27">
        <v>2</v>
      </c>
      <c r="G27" s="2">
        <v>1.5</v>
      </c>
      <c r="H27" t="s">
        <v>223</v>
      </c>
    </row>
    <row r="28" spans="1:8" x14ac:dyDescent="0.25">
      <c r="A28" t="s">
        <v>191</v>
      </c>
      <c r="B28">
        <v>29</v>
      </c>
      <c r="C28">
        <v>31.083854675292969</v>
      </c>
      <c r="D28">
        <f t="shared" si="0"/>
        <v>2.0838546752929688</v>
      </c>
      <c r="E28">
        <f t="shared" si="1"/>
        <v>1.0022468566894496</v>
      </c>
      <c r="F28">
        <v>2</v>
      </c>
      <c r="G28" s="2">
        <v>1.5</v>
      </c>
      <c r="H28" t="s">
        <v>224</v>
      </c>
    </row>
    <row r="29" spans="1:8" x14ac:dyDescent="0.25">
      <c r="A29" t="s">
        <v>192</v>
      </c>
      <c r="B29">
        <v>29</v>
      </c>
      <c r="C29">
        <v>30.081607818603519</v>
      </c>
      <c r="D29">
        <f t="shared" si="0"/>
        <v>1.0816078186035192</v>
      </c>
      <c r="E29" t="str">
        <f t="shared" si="1"/>
        <v/>
      </c>
      <c r="F29">
        <v>2</v>
      </c>
      <c r="G29" s="2">
        <v>1.5</v>
      </c>
      <c r="H29" t="s">
        <v>224</v>
      </c>
    </row>
    <row r="30" spans="1:8" x14ac:dyDescent="0.25">
      <c r="A30" t="s">
        <v>193</v>
      </c>
      <c r="B30">
        <v>28</v>
      </c>
      <c r="C30">
        <v>28.121513366699219</v>
      </c>
      <c r="D30">
        <f t="shared" si="0"/>
        <v>0.12151336669921875</v>
      </c>
      <c r="E30">
        <f t="shared" si="1"/>
        <v>2.2567939758300817</v>
      </c>
      <c r="F30">
        <v>2</v>
      </c>
      <c r="G30" s="2">
        <v>1.5</v>
      </c>
      <c r="H30" t="s">
        <v>225</v>
      </c>
    </row>
    <row r="31" spans="1:8" x14ac:dyDescent="0.25">
      <c r="A31" t="s">
        <v>194</v>
      </c>
      <c r="B31">
        <v>28</v>
      </c>
      <c r="C31">
        <v>30.3783073425293</v>
      </c>
      <c r="D31">
        <f t="shared" si="0"/>
        <v>2.3783073425293004</v>
      </c>
      <c r="E31" t="str">
        <f t="shared" si="1"/>
        <v/>
      </c>
      <c r="F31">
        <v>2</v>
      </c>
      <c r="G31" s="2">
        <v>1.5</v>
      </c>
      <c r="H31" t="s">
        <v>225</v>
      </c>
    </row>
    <row r="32" spans="1:8" x14ac:dyDescent="0.25">
      <c r="A32" t="s">
        <v>195</v>
      </c>
      <c r="B32">
        <v>20</v>
      </c>
      <c r="C32">
        <v>16.2624397277832</v>
      </c>
      <c r="D32">
        <f t="shared" si="0"/>
        <v>3.7375602722168004</v>
      </c>
      <c r="E32">
        <f t="shared" si="1"/>
        <v>1.2950325012206996</v>
      </c>
      <c r="F32">
        <v>1</v>
      </c>
      <c r="G32" s="2">
        <v>1.5</v>
      </c>
      <c r="H32" t="s">
        <v>226</v>
      </c>
    </row>
    <row r="33" spans="1:8" x14ac:dyDescent="0.25">
      <c r="A33" t="s">
        <v>196</v>
      </c>
      <c r="B33">
        <v>20</v>
      </c>
      <c r="C33">
        <v>14.9674072265625</v>
      </c>
      <c r="D33">
        <f t="shared" si="0"/>
        <v>5.0325927734375</v>
      </c>
      <c r="E33" t="str">
        <f t="shared" si="1"/>
        <v/>
      </c>
      <c r="F33">
        <v>1</v>
      </c>
      <c r="G33" s="2">
        <v>1.5</v>
      </c>
      <c r="H33" t="s">
        <v>226</v>
      </c>
    </row>
    <row r="34" spans="1:8" x14ac:dyDescent="0.25">
      <c r="A34" t="s">
        <v>197</v>
      </c>
      <c r="B34">
        <v>22</v>
      </c>
      <c r="C34">
        <v>24.76362228393555</v>
      </c>
      <c r="D34">
        <f t="shared" si="0"/>
        <v>2.7636222839355504</v>
      </c>
      <c r="E34">
        <f t="shared" si="1"/>
        <v>1.145465850830071</v>
      </c>
      <c r="F34">
        <v>1</v>
      </c>
      <c r="G34" s="2">
        <v>1.5</v>
      </c>
      <c r="H34" t="s">
        <v>227</v>
      </c>
    </row>
    <row r="35" spans="1:8" x14ac:dyDescent="0.25">
      <c r="A35" t="s">
        <v>198</v>
      </c>
      <c r="B35">
        <v>22</v>
      </c>
      <c r="C35">
        <v>25.909088134765621</v>
      </c>
      <c r="D35">
        <f t="shared" si="0"/>
        <v>3.9090881347656214</v>
      </c>
      <c r="E35" t="str">
        <f t="shared" si="1"/>
        <v/>
      </c>
      <c r="F35">
        <v>1</v>
      </c>
      <c r="G35" s="2">
        <v>1.5</v>
      </c>
      <c r="H35" t="s">
        <v>227</v>
      </c>
    </row>
    <row r="36" spans="1:8" x14ac:dyDescent="0.25">
      <c r="A36" t="s">
        <v>199</v>
      </c>
      <c r="B36">
        <v>22</v>
      </c>
      <c r="C36">
        <v>18.33676910400391</v>
      </c>
      <c r="D36">
        <f t="shared" si="0"/>
        <v>3.6632308959960902</v>
      </c>
      <c r="E36">
        <f t="shared" si="1"/>
        <v>2.8365879058837891</v>
      </c>
      <c r="F36">
        <v>1</v>
      </c>
      <c r="G36" s="2">
        <v>1.5</v>
      </c>
      <c r="H36" t="s">
        <v>228</v>
      </c>
    </row>
    <row r="37" spans="1:8" x14ac:dyDescent="0.25">
      <c r="A37" t="s">
        <v>200</v>
      </c>
      <c r="B37">
        <v>22</v>
      </c>
      <c r="C37">
        <v>15.500181198120121</v>
      </c>
      <c r="D37">
        <f t="shared" si="0"/>
        <v>6.4998188018798793</v>
      </c>
      <c r="E37" t="str">
        <f t="shared" si="1"/>
        <v/>
      </c>
      <c r="F37">
        <v>1</v>
      </c>
      <c r="G37" s="2">
        <v>1.5</v>
      </c>
      <c r="H37" t="s">
        <v>228</v>
      </c>
    </row>
    <row r="38" spans="1:8" x14ac:dyDescent="0.25">
      <c r="A38" t="s">
        <v>201</v>
      </c>
      <c r="B38">
        <v>20</v>
      </c>
      <c r="C38">
        <v>21.374834060668949</v>
      </c>
      <c r="D38">
        <f t="shared" si="0"/>
        <v>1.3748340606689489</v>
      </c>
      <c r="E38">
        <f t="shared" si="1"/>
        <v>1.2009067535400391</v>
      </c>
      <c r="F38">
        <v>2</v>
      </c>
      <c r="G38" s="2">
        <v>1.5</v>
      </c>
      <c r="H38" t="s">
        <v>229</v>
      </c>
    </row>
    <row r="39" spans="1:8" x14ac:dyDescent="0.25">
      <c r="A39" t="s">
        <v>202</v>
      </c>
      <c r="B39">
        <v>20</v>
      </c>
      <c r="C39">
        <v>20.17392730712891</v>
      </c>
      <c r="D39">
        <f t="shared" si="0"/>
        <v>0.1739273071289098</v>
      </c>
      <c r="E39" t="str">
        <f t="shared" si="1"/>
        <v/>
      </c>
      <c r="F39">
        <v>2</v>
      </c>
      <c r="G39" s="2">
        <v>1.5</v>
      </c>
      <c r="H39" t="s">
        <v>229</v>
      </c>
    </row>
    <row r="40" spans="1:8" x14ac:dyDescent="0.25">
      <c r="A40" t="s">
        <v>203</v>
      </c>
      <c r="B40">
        <v>26</v>
      </c>
      <c r="C40">
        <v>22.293960571289059</v>
      </c>
      <c r="D40">
        <f t="shared" si="0"/>
        <v>3.7060394287109411</v>
      </c>
      <c r="E40">
        <f t="shared" si="1"/>
        <v>1.5276737213134801</v>
      </c>
      <c r="F40">
        <v>2</v>
      </c>
      <c r="G40" s="2">
        <v>1.5</v>
      </c>
      <c r="H40" t="s">
        <v>230</v>
      </c>
    </row>
    <row r="41" spans="1:8" x14ac:dyDescent="0.25">
      <c r="A41" t="s">
        <v>204</v>
      </c>
      <c r="B41">
        <v>26</v>
      </c>
      <c r="C41">
        <v>23.821634292602539</v>
      </c>
      <c r="D41">
        <f t="shared" si="0"/>
        <v>2.1783657073974609</v>
      </c>
      <c r="E41" t="str">
        <f t="shared" si="1"/>
        <v/>
      </c>
      <c r="F41">
        <v>2</v>
      </c>
      <c r="G41" s="2">
        <v>1.5</v>
      </c>
      <c r="H41" t="s">
        <v>230</v>
      </c>
    </row>
  </sheetData>
  <phoneticPr fontId="2" type="noConversion"/>
  <conditionalFormatting sqref="E2:E41">
    <cfRule type="cellIs" dxfId="3" priority="1" operator="between">
      <formula>1000</formula>
      <formula>6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1"/>
  <sheetViews>
    <sheetView topLeftCell="A102" workbookViewId="0">
      <selection activeCell="F127" sqref="F127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231</v>
      </c>
      <c r="G1" s="1" t="s">
        <v>232</v>
      </c>
      <c r="H1" s="1" t="s">
        <v>210</v>
      </c>
    </row>
    <row r="2" spans="1:8" ht="16.5" x14ac:dyDescent="0.25">
      <c r="A2" t="s">
        <v>3</v>
      </c>
      <c r="B2">
        <v>26</v>
      </c>
      <c r="C2">
        <v>22.214969635009769</v>
      </c>
      <c r="D2">
        <f>ABS(C2-B2)</f>
        <v>3.7850303649902308</v>
      </c>
      <c r="E2">
        <f>IF(MOD(ROW(),2)=0,ABS(C2-C3),"")</f>
        <v>2.0225601196288991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24.237529754638668</v>
      </c>
      <c r="D3">
        <f t="shared" ref="D3:D66" si="0">ABS(C3-B3)</f>
        <v>1.7624702453613317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23.5222053527832</v>
      </c>
      <c r="D4">
        <f t="shared" si="0"/>
        <v>2.4777946472168004</v>
      </c>
      <c r="E4">
        <f t="shared" si="1"/>
        <v>1.2750835418701101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22.247121810913089</v>
      </c>
      <c r="D5">
        <f t="shared" si="0"/>
        <v>3.7528781890869105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22.850713729858398</v>
      </c>
      <c r="D6">
        <f t="shared" si="0"/>
        <v>3.1492862701416016</v>
      </c>
      <c r="E6">
        <f t="shared" si="1"/>
        <v>0.43450355529785156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23.28521728515625</v>
      </c>
      <c r="D7">
        <f t="shared" si="0"/>
        <v>2.71478271484375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24.3044548034668</v>
      </c>
      <c r="D8">
        <f t="shared" si="0"/>
        <v>1.6955451965331996</v>
      </c>
      <c r="E8">
        <f t="shared" si="1"/>
        <v>0.93823051452636008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25.242685317993161</v>
      </c>
      <c r="D9">
        <f t="shared" si="0"/>
        <v>0.75731468200683949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22.8427619934082</v>
      </c>
      <c r="D10">
        <f t="shared" si="0"/>
        <v>3.1572380065918004</v>
      </c>
      <c r="E10">
        <f t="shared" si="1"/>
        <v>0.35768318176269887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23.200445175170898</v>
      </c>
      <c r="D11">
        <f t="shared" si="0"/>
        <v>2.7995548248291016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24.008876800537109</v>
      </c>
      <c r="D12">
        <f t="shared" si="0"/>
        <v>1.9911231994628906</v>
      </c>
      <c r="E12">
        <f t="shared" si="1"/>
        <v>1.0086727142333984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23.000204086303711</v>
      </c>
      <c r="D13">
        <f t="shared" si="0"/>
        <v>2.9997959136962891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23.219192504882809</v>
      </c>
      <c r="D14">
        <f t="shared" si="0"/>
        <v>2.7808074951171911</v>
      </c>
      <c r="E14">
        <f t="shared" si="1"/>
        <v>0.18893051147460938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23.408123016357418</v>
      </c>
      <c r="D15">
        <f t="shared" si="0"/>
        <v>2.5918769836425817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21.940092086791989</v>
      </c>
      <c r="D16">
        <f t="shared" si="0"/>
        <v>4.0599079132080114</v>
      </c>
      <c r="E16">
        <f t="shared" si="1"/>
        <v>1.1732006072998118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23.1132926940918</v>
      </c>
      <c r="D17">
        <f t="shared" si="0"/>
        <v>2.8867073059081996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21.04796028137207</v>
      </c>
      <c r="D18">
        <f t="shared" si="0"/>
        <v>4.9520397186279297</v>
      </c>
      <c r="E18">
        <f t="shared" si="1"/>
        <v>0.19164466857909801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21.239604949951168</v>
      </c>
      <c r="D19">
        <f t="shared" si="0"/>
        <v>4.7603950500488317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22.250530242919918</v>
      </c>
      <c r="D20">
        <f t="shared" si="0"/>
        <v>3.7494697570800817</v>
      </c>
      <c r="E20">
        <f t="shared" si="1"/>
        <v>0.16336822509766336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22.413898468017582</v>
      </c>
      <c r="D21">
        <f t="shared" si="0"/>
        <v>3.5861015319824183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24.375919342041019</v>
      </c>
      <c r="D22">
        <f t="shared" si="0"/>
        <v>1.6240806579589808</v>
      </c>
      <c r="E22">
        <f t="shared" si="1"/>
        <v>1.5635738372802805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22.812345504760739</v>
      </c>
      <c r="D23">
        <f t="shared" si="0"/>
        <v>3.1876544952392614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24.54871940612793</v>
      </c>
      <c r="D24">
        <f t="shared" si="0"/>
        <v>1.4512805938720703</v>
      </c>
      <c r="E24">
        <f t="shared" si="1"/>
        <v>1.3115615844726598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23.23715782165527</v>
      </c>
      <c r="D25">
        <f t="shared" si="0"/>
        <v>2.7628421783447301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23.03652191162109</v>
      </c>
      <c r="D26">
        <f t="shared" si="0"/>
        <v>2.9634780883789098</v>
      </c>
      <c r="E26">
        <f t="shared" si="1"/>
        <v>3.2163639068603587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26.252885818481449</v>
      </c>
      <c r="D27">
        <f t="shared" si="0"/>
        <v>0.25288581848144887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23.900676727294918</v>
      </c>
      <c r="D28">
        <f t="shared" si="0"/>
        <v>2.0993232727050817</v>
      </c>
      <c r="E28">
        <f t="shared" si="1"/>
        <v>3.6317672729492188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20.2689094543457</v>
      </c>
      <c r="D29">
        <f t="shared" si="0"/>
        <v>5.7310905456543004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24.259857177734379</v>
      </c>
      <c r="D30">
        <f t="shared" si="0"/>
        <v>1.7401428222656214</v>
      </c>
      <c r="E30">
        <f t="shared" si="1"/>
        <v>0.81869506835937855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23.441162109375</v>
      </c>
      <c r="D31">
        <f t="shared" si="0"/>
        <v>2.558837890625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22.18841552734375</v>
      </c>
      <c r="D32">
        <f t="shared" si="0"/>
        <v>3.81158447265625</v>
      </c>
      <c r="E32">
        <f t="shared" si="1"/>
        <v>2.6277580261230504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24.8161735534668</v>
      </c>
      <c r="D33">
        <f t="shared" si="0"/>
        <v>1.1838264465331996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22.951107025146481</v>
      </c>
      <c r="D34">
        <f t="shared" si="0"/>
        <v>3.0488929748535192</v>
      </c>
      <c r="E34">
        <f t="shared" si="1"/>
        <v>0.62883567810058949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23.57994270324707</v>
      </c>
      <c r="D35">
        <f t="shared" si="0"/>
        <v>2.4200572967529297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22.9832878112793</v>
      </c>
      <c r="D36">
        <f t="shared" si="0"/>
        <v>3.0167121887206996</v>
      </c>
      <c r="E36">
        <f t="shared" si="1"/>
        <v>1.8350296020507813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24.818317413330082</v>
      </c>
      <c r="D37">
        <f t="shared" si="0"/>
        <v>1.1816825866699183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25.18788909912109</v>
      </c>
      <c r="D38">
        <f t="shared" si="0"/>
        <v>0.8121109008789098</v>
      </c>
      <c r="E38">
        <f t="shared" si="1"/>
        <v>3.4350337982177699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21.75285530090332</v>
      </c>
      <c r="D39">
        <f t="shared" si="0"/>
        <v>4.2471446990966797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21.588335037231449</v>
      </c>
      <c r="D40">
        <f t="shared" si="0"/>
        <v>4.4116649627685511</v>
      </c>
      <c r="E40">
        <f t="shared" si="1"/>
        <v>2.4635448455810511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24.0518798828125</v>
      </c>
      <c r="D41">
        <f t="shared" si="0"/>
        <v>1.9481201171875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31.794643402099609</v>
      </c>
      <c r="D42">
        <f t="shared" si="0"/>
        <v>0.79464340209960938</v>
      </c>
      <c r="E42">
        <f t="shared" si="1"/>
        <v>3.7246856689453089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28.0699577331543</v>
      </c>
      <c r="D43">
        <f t="shared" si="0"/>
        <v>2.9300422668456996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34.74530029296875</v>
      </c>
      <c r="D44">
        <f t="shared" si="0"/>
        <v>3.74530029296875</v>
      </c>
      <c r="E44">
        <f t="shared" si="1"/>
        <v>1.9316101074218679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32.813690185546882</v>
      </c>
      <c r="D45">
        <f t="shared" si="0"/>
        <v>1.8136901855468821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32.926231384277337</v>
      </c>
      <c r="D46">
        <f t="shared" si="0"/>
        <v>1.9262313842773366</v>
      </c>
      <c r="E46">
        <f t="shared" si="1"/>
        <v>0.64779281616210938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32.278438568115227</v>
      </c>
      <c r="D47">
        <f t="shared" si="0"/>
        <v>1.2784385681152273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31.155498504638668</v>
      </c>
      <c r="D48">
        <f t="shared" si="0"/>
        <v>0.15549850463866832</v>
      </c>
      <c r="E48">
        <f t="shared" si="1"/>
        <v>0.96062088012694957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32.116119384765618</v>
      </c>
      <c r="D49">
        <f t="shared" si="0"/>
        <v>1.1161193847656179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30.324741363525391</v>
      </c>
      <c r="D50">
        <f t="shared" si="0"/>
        <v>0.67525863647460938</v>
      </c>
      <c r="E50">
        <f t="shared" si="1"/>
        <v>0.58196258544921875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30.906703948974609</v>
      </c>
      <c r="D51">
        <f t="shared" si="0"/>
        <v>9.3296051025390625E-2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30.860897064208981</v>
      </c>
      <c r="D52">
        <f t="shared" si="0"/>
        <v>0.13910293579101918</v>
      </c>
      <c r="E52">
        <f t="shared" si="1"/>
        <v>0.40855789184571023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31.269454956054691</v>
      </c>
      <c r="D53">
        <f t="shared" si="0"/>
        <v>0.26945495605469105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30.408290863037109</v>
      </c>
      <c r="D54">
        <f t="shared" si="0"/>
        <v>0.59170913696289063</v>
      </c>
      <c r="E54">
        <f t="shared" si="1"/>
        <v>2.1538162231445313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32.562107086181641</v>
      </c>
      <c r="D55">
        <f t="shared" si="0"/>
        <v>1.5621070861816406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29.490268707275391</v>
      </c>
      <c r="D56">
        <f t="shared" si="0"/>
        <v>1.5097312927246094</v>
      </c>
      <c r="E56">
        <f t="shared" si="1"/>
        <v>1.1560859680175781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30.646354675292969</v>
      </c>
      <c r="D57">
        <f t="shared" si="0"/>
        <v>0.35364532470703125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31.868915557861332</v>
      </c>
      <c r="D58">
        <f t="shared" si="0"/>
        <v>0.86891555786133168</v>
      </c>
      <c r="E58">
        <f t="shared" si="1"/>
        <v>1.8737144470214808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33.742630004882813</v>
      </c>
      <c r="D59">
        <f t="shared" si="0"/>
        <v>2.7426300048828125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32.246410369873047</v>
      </c>
      <c r="D60">
        <f t="shared" si="0"/>
        <v>1.2464103698730469</v>
      </c>
      <c r="E60">
        <f t="shared" si="1"/>
        <v>3.7967758178710938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36.043186187744141</v>
      </c>
      <c r="D61">
        <f t="shared" si="0"/>
        <v>5.0431861877441406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32.241344451904297</v>
      </c>
      <c r="D62">
        <f t="shared" si="0"/>
        <v>1.2413444519042969</v>
      </c>
      <c r="E62">
        <f t="shared" si="1"/>
        <v>2.9087524414062464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29.33259201049805</v>
      </c>
      <c r="D63">
        <f t="shared" si="0"/>
        <v>1.6674079895019496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29.641361236572269</v>
      </c>
      <c r="D64">
        <f t="shared" si="0"/>
        <v>1.3586387634277308</v>
      </c>
      <c r="E64">
        <f t="shared" si="1"/>
        <v>5.2666358947753942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34.907997131347663</v>
      </c>
      <c r="D65">
        <f t="shared" si="0"/>
        <v>3.9079971313476634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32.403049468994141</v>
      </c>
      <c r="D66">
        <f t="shared" si="0"/>
        <v>1.4030494689941406</v>
      </c>
      <c r="E66">
        <f t="shared" si="1"/>
        <v>3.2775192260742223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29.125530242919918</v>
      </c>
      <c r="D67">
        <f t="shared" ref="D67:D121" si="2">ABS(C67-B67)</f>
        <v>1.8744697570800817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28.774456024169918</v>
      </c>
      <c r="D68">
        <f t="shared" si="2"/>
        <v>2.2255439758300817</v>
      </c>
      <c r="E68">
        <f t="shared" si="3"/>
        <v>0.86080169677733664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27.913654327392582</v>
      </c>
      <c r="D69">
        <f t="shared" si="2"/>
        <v>3.0863456726074183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30.484699249267582</v>
      </c>
      <c r="D70">
        <f t="shared" si="2"/>
        <v>0.51530075073241832</v>
      </c>
      <c r="E70">
        <f t="shared" si="3"/>
        <v>3.8263626098632777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34.311061859130859</v>
      </c>
      <c r="D71">
        <f t="shared" si="2"/>
        <v>3.3110618591308594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31.166889190673832</v>
      </c>
      <c r="D72">
        <f t="shared" si="2"/>
        <v>0.16688919067383168</v>
      </c>
      <c r="E72">
        <f t="shared" si="3"/>
        <v>1.4947433471679723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29.672145843505859</v>
      </c>
      <c r="D73">
        <f t="shared" si="2"/>
        <v>1.3278541564941406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31.097927093505859</v>
      </c>
      <c r="D74">
        <f t="shared" si="2"/>
        <v>9.7927093505859375E-2</v>
      </c>
      <c r="E74">
        <f t="shared" si="3"/>
        <v>0.34133911132812855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30.756587982177731</v>
      </c>
      <c r="D75">
        <f t="shared" si="2"/>
        <v>0.24341201782226918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32.221134185791023</v>
      </c>
      <c r="D76">
        <f t="shared" si="2"/>
        <v>1.2211341857910227</v>
      </c>
      <c r="E76">
        <f t="shared" si="3"/>
        <v>1.6679420471191442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30.553192138671879</v>
      </c>
      <c r="D77">
        <f t="shared" si="2"/>
        <v>0.44680786132812145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30.893161773681641</v>
      </c>
      <c r="D78">
        <f t="shared" si="2"/>
        <v>0.10683822631835938</v>
      </c>
      <c r="E78">
        <f t="shared" si="3"/>
        <v>3.4253158569335866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34.318477630615227</v>
      </c>
      <c r="D79">
        <f t="shared" si="2"/>
        <v>3.3184776306152273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30.911018371582031</v>
      </c>
      <c r="D80">
        <f t="shared" si="2"/>
        <v>8.898162841796875E-2</v>
      </c>
      <c r="E80">
        <f t="shared" si="3"/>
        <v>0.99274063110351918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31.90375900268555</v>
      </c>
      <c r="D81">
        <f t="shared" si="2"/>
        <v>0.90375900268555043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26.3868408203125</v>
      </c>
      <c r="D82">
        <f t="shared" si="2"/>
        <v>3.6131591796875</v>
      </c>
      <c r="E82">
        <f t="shared" si="3"/>
        <v>3.9734687805175817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30.360309600830082</v>
      </c>
      <c r="D83">
        <f t="shared" si="2"/>
        <v>0.36030960083008168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30.686847686767582</v>
      </c>
      <c r="D84">
        <f t="shared" si="2"/>
        <v>0.68684768676758168</v>
      </c>
      <c r="E84">
        <f t="shared" si="3"/>
        <v>1.8946075439453125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28.792240142822269</v>
      </c>
      <c r="D85">
        <f t="shared" si="2"/>
        <v>1.2077598571777308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32.020351409912109</v>
      </c>
      <c r="D86">
        <f t="shared" si="2"/>
        <v>2.0203514099121094</v>
      </c>
      <c r="E86">
        <f t="shared" si="3"/>
        <v>7.9992427825927699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24.021108627319339</v>
      </c>
      <c r="D87">
        <f t="shared" si="2"/>
        <v>5.9788913726806605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27.373420715332031</v>
      </c>
      <c r="D88">
        <f t="shared" si="2"/>
        <v>2.6265792846679688</v>
      </c>
      <c r="E88">
        <f t="shared" si="3"/>
        <v>1.7901725769043004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29.163593292236332</v>
      </c>
      <c r="D89">
        <f t="shared" si="2"/>
        <v>0.83640670776366832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26.479545593261719</v>
      </c>
      <c r="D90">
        <f t="shared" si="2"/>
        <v>3.5204544067382813</v>
      </c>
      <c r="E90">
        <f t="shared" si="3"/>
        <v>1.53759765625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28.017143249511719</v>
      </c>
      <c r="D91">
        <f t="shared" si="2"/>
        <v>1.9828567504882813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26.226119995117191</v>
      </c>
      <c r="D92">
        <f t="shared" si="2"/>
        <v>3.7738800048828089</v>
      </c>
      <c r="E92">
        <f t="shared" si="3"/>
        <v>2.5679359436035085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28.7940559387207</v>
      </c>
      <c r="D93">
        <f t="shared" si="2"/>
        <v>1.2059440612793004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30.3989143371582</v>
      </c>
      <c r="D94">
        <f t="shared" si="2"/>
        <v>0.39891433715819957</v>
      </c>
      <c r="E94">
        <f t="shared" si="3"/>
        <v>0.78689193725585938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29.61202239990234</v>
      </c>
      <c r="D95">
        <f t="shared" si="2"/>
        <v>0.3879776000976598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26.249652862548832</v>
      </c>
      <c r="D96">
        <f t="shared" si="2"/>
        <v>3.7503471374511683</v>
      </c>
      <c r="E96">
        <f t="shared" si="3"/>
        <v>2.4289207458496094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28.678573608398441</v>
      </c>
      <c r="D97">
        <f t="shared" si="2"/>
        <v>1.3214263916015589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29.788043975830082</v>
      </c>
      <c r="D98">
        <f t="shared" si="2"/>
        <v>0.21195602416991832</v>
      </c>
      <c r="E98">
        <f t="shared" si="3"/>
        <v>0.96062469482421875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30.7486686706543</v>
      </c>
      <c r="D99">
        <f t="shared" si="2"/>
        <v>0.74866867065430043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28.716255187988281</v>
      </c>
      <c r="D100">
        <f t="shared" si="2"/>
        <v>1.2837448120117188</v>
      </c>
      <c r="E100">
        <f t="shared" si="3"/>
        <v>0.74120330810546875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29.45745849609375</v>
      </c>
      <c r="D101">
        <f t="shared" si="2"/>
        <v>0.54254150390625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30.11772537231445</v>
      </c>
      <c r="D102">
        <f t="shared" si="2"/>
        <v>0.11772537231444957</v>
      </c>
      <c r="E102">
        <f t="shared" si="3"/>
        <v>0.63745498657225852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29.480270385742191</v>
      </c>
      <c r="D103">
        <f t="shared" si="2"/>
        <v>0.51972961425780895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28.137374877929691</v>
      </c>
      <c r="D104">
        <f t="shared" si="2"/>
        <v>1.8626251220703089</v>
      </c>
      <c r="E104">
        <f t="shared" si="3"/>
        <v>0.42138671875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28.558761596679691</v>
      </c>
      <c r="D105">
        <f t="shared" si="2"/>
        <v>1.4412384033203089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29.585700988769531</v>
      </c>
      <c r="D106">
        <f t="shared" si="2"/>
        <v>0.41429901123046875</v>
      </c>
      <c r="E106">
        <f t="shared" si="3"/>
        <v>4.4161472320556605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25.169553756713871</v>
      </c>
      <c r="D107">
        <f t="shared" si="2"/>
        <v>4.8304462432861293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28.78084564208984</v>
      </c>
      <c r="D108">
        <f t="shared" si="2"/>
        <v>1.2191543579101598</v>
      </c>
      <c r="E108">
        <f t="shared" si="3"/>
        <v>5.6362609863281214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23.144584655761719</v>
      </c>
      <c r="D109">
        <f t="shared" si="2"/>
        <v>6.8554153442382813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27.91518592834473</v>
      </c>
      <c r="D110">
        <f t="shared" si="2"/>
        <v>2.0848140716552699</v>
      </c>
      <c r="E110">
        <f t="shared" si="3"/>
        <v>0.69582939147948863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28.611015319824219</v>
      </c>
      <c r="D111">
        <f t="shared" si="2"/>
        <v>1.3889846801757813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28.155498504638668</v>
      </c>
      <c r="D112">
        <f t="shared" si="2"/>
        <v>1.8445014953613317</v>
      </c>
      <c r="E112">
        <f t="shared" si="3"/>
        <v>0.69478607177733664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27.460712432861332</v>
      </c>
      <c r="D113">
        <f t="shared" si="2"/>
        <v>2.5392875671386683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29.540187835693359</v>
      </c>
      <c r="D114">
        <f t="shared" si="2"/>
        <v>0.45981216430664063</v>
      </c>
      <c r="E114">
        <f t="shared" si="3"/>
        <v>0.19108581542969105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29.73127365112305</v>
      </c>
      <c r="D115">
        <f t="shared" si="2"/>
        <v>0.26872634887694957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30.135410308837891</v>
      </c>
      <c r="D116">
        <f t="shared" si="2"/>
        <v>0.13541030883789063</v>
      </c>
      <c r="E116">
        <f t="shared" si="3"/>
        <v>0.2823410034179723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29.853069305419918</v>
      </c>
      <c r="D117">
        <f t="shared" si="2"/>
        <v>0.14693069458008168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30.88615798950195</v>
      </c>
      <c r="D118">
        <f t="shared" si="2"/>
        <v>0.88615798950194957</v>
      </c>
      <c r="E118">
        <f t="shared" si="3"/>
        <v>3.9716968536376882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26.914461135864261</v>
      </c>
      <c r="D119">
        <f t="shared" si="2"/>
        <v>3.0855388641357386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28.44378662109375</v>
      </c>
      <c r="D120">
        <f t="shared" si="2"/>
        <v>1.55621337890625</v>
      </c>
      <c r="E120">
        <f t="shared" si="3"/>
        <v>1.4656257629394496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29.9094123840332</v>
      </c>
      <c r="D121">
        <f t="shared" si="2"/>
        <v>9.0587615966800428E-2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2" priority="1" operator="between">
      <formula>1000</formula>
      <formula>6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3"/>
  <sheetViews>
    <sheetView topLeftCell="A16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7" max="7" width="9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231</v>
      </c>
      <c r="G1" s="1" t="s">
        <v>232</v>
      </c>
      <c r="H1" s="1" t="s">
        <v>210</v>
      </c>
    </row>
    <row r="2" spans="1:8" x14ac:dyDescent="0.25">
      <c r="A2" t="s">
        <v>123</v>
      </c>
      <c r="B2">
        <v>28</v>
      </c>
      <c r="C2">
        <v>30.898136138916019</v>
      </c>
      <c r="D2">
        <f>ABS(C2-B2)</f>
        <v>2.8981361389160192</v>
      </c>
      <c r="E2">
        <f>IF(COUNTIF($H:$H,H2)=2,ABS(C2-_xlfn.XLOOKUP(H2,$H:$H,$C:$C,"",0,-1)),"")</f>
        <v>0.2683334350585902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31.166469573974609</v>
      </c>
      <c r="D3">
        <f t="shared" ref="D3:D43" si="0">ABS(C3-B3)</f>
        <v>3.1664695739746094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29.698284149169918</v>
      </c>
      <c r="D4">
        <f t="shared" si="0"/>
        <v>0.30171585083008168</v>
      </c>
      <c r="E4">
        <f t="shared" si="1"/>
        <v>1.3511161804199219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31.04940032958984</v>
      </c>
      <c r="D5">
        <f t="shared" si="0"/>
        <v>1.0494003295898402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33.576927185058587</v>
      </c>
      <c r="D6">
        <f t="shared" si="0"/>
        <v>5.5769271850585866</v>
      </c>
      <c r="E6">
        <f t="shared" si="1"/>
        <v>0.29933929443358664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33.277587890625</v>
      </c>
      <c r="D7">
        <f t="shared" si="0"/>
        <v>5.277587890625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23.695255279541019</v>
      </c>
      <c r="D8">
        <f t="shared" si="0"/>
        <v>2.3047447204589808</v>
      </c>
      <c r="E8">
        <f t="shared" si="1"/>
        <v>2.6073989868163991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26.302654266357418</v>
      </c>
      <c r="D9">
        <f t="shared" si="0"/>
        <v>0.30265426635741832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28.063163757324219</v>
      </c>
      <c r="D10">
        <f t="shared" si="0"/>
        <v>6.0631637573242188</v>
      </c>
      <c r="E10">
        <f t="shared" si="1"/>
        <v>1.1541271209716797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26.909036636352539</v>
      </c>
      <c r="D11">
        <f t="shared" si="0"/>
        <v>4.9090366363525391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28.172172546386719</v>
      </c>
      <c r="D12">
        <f t="shared" si="0"/>
        <v>2.1721725463867188</v>
      </c>
      <c r="E12">
        <f t="shared" si="1"/>
        <v>0.39917373657226207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28.571346282958981</v>
      </c>
      <c r="D13">
        <f t="shared" si="0"/>
        <v>2.5713462829589808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30.64298248291016</v>
      </c>
      <c r="D14">
        <f t="shared" si="0"/>
        <v>4.6429824829101598</v>
      </c>
      <c r="E14">
        <f t="shared" si="1"/>
        <v>0.17979812622069957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30.822780609130859</v>
      </c>
      <c r="D15">
        <f t="shared" si="0"/>
        <v>4.8227806091308594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53.224048614501953</v>
      </c>
      <c r="D16">
        <f t="shared" si="0"/>
        <v>30.224048614501953</v>
      </c>
      <c r="E16">
        <f t="shared" si="1"/>
        <v>0.839752197265625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54.063800811767578</v>
      </c>
      <c r="D17">
        <f t="shared" si="0"/>
        <v>31.063800811767578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50.606281280517578</v>
      </c>
      <c r="D18">
        <f t="shared" si="0"/>
        <v>8.6062812805175781</v>
      </c>
      <c r="E18">
        <f t="shared" si="1"/>
        <v>1.3874435424804688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49.218837738037109</v>
      </c>
      <c r="D19">
        <f t="shared" si="0"/>
        <v>7.2188377380371094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31.374477386474609</v>
      </c>
      <c r="D20">
        <f t="shared" si="0"/>
        <v>0.62552261352539063</v>
      </c>
      <c r="E20">
        <f t="shared" si="1"/>
        <v>1.990367889404304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33.364845275878913</v>
      </c>
      <c r="D21">
        <f t="shared" si="0"/>
        <v>1.3648452758789134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26.095890045166019</v>
      </c>
      <c r="D22">
        <f t="shared" si="0"/>
        <v>3.9041099548339808</v>
      </c>
      <c r="E22">
        <f t="shared" si="1"/>
        <v>8.0310821533199572E-2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26.176200866699219</v>
      </c>
      <c r="D23">
        <f t="shared" si="0"/>
        <v>3.8237991333007813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37.967502593994141</v>
      </c>
      <c r="D24">
        <f t="shared" si="0"/>
        <v>11.032497406005859</v>
      </c>
      <c r="E24">
        <f t="shared" si="1"/>
        <v>2.2345046997070313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40.202007293701172</v>
      </c>
      <c r="D25">
        <f t="shared" si="0"/>
        <v>8.7979927062988281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27.962287902832031</v>
      </c>
      <c r="D26">
        <f t="shared" si="0"/>
        <v>1.0377120971679688</v>
      </c>
      <c r="E26">
        <f t="shared" si="1"/>
        <v>0.97486495971680043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26.987422943115231</v>
      </c>
      <c r="D27">
        <f t="shared" si="0"/>
        <v>2.0125770568847692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40.715396881103523</v>
      </c>
      <c r="D28">
        <f t="shared" si="0"/>
        <v>6.7153968811035227</v>
      </c>
      <c r="E28">
        <f t="shared" si="1"/>
        <v>0.7625732421875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41.477970123291023</v>
      </c>
      <c r="D29">
        <f t="shared" si="0"/>
        <v>7.4779701232910227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38.090599060058587</v>
      </c>
      <c r="D30">
        <f t="shared" si="0"/>
        <v>9.0599060058586645E-2</v>
      </c>
      <c r="E30">
        <f t="shared" si="1"/>
        <v>2.27716064453125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40.367759704589837</v>
      </c>
      <c r="D31">
        <f t="shared" si="0"/>
        <v>2.3677597045898366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25.160980224609379</v>
      </c>
      <c r="D32">
        <f t="shared" si="0"/>
        <v>0.16098022460937855</v>
      </c>
      <c r="E32">
        <f t="shared" si="1"/>
        <v>0.12187957763671164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25.28285980224609</v>
      </c>
      <c r="D33">
        <f t="shared" si="0"/>
        <v>0.2828598022460902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27.924579620361332</v>
      </c>
      <c r="D34">
        <f t="shared" si="0"/>
        <v>2.9245796203613317</v>
      </c>
      <c r="E34">
        <f t="shared" si="1"/>
        <v>1.6106948852539134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26.313884735107418</v>
      </c>
      <c r="D35">
        <f t="shared" si="0"/>
        <v>1.3138847351074183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30.686649322509769</v>
      </c>
      <c r="D36">
        <f t="shared" si="0"/>
        <v>5.6866493225097692</v>
      </c>
      <c r="E36">
        <f t="shared" si="1"/>
        <v>4.6446762084960902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35.331325531005859</v>
      </c>
      <c r="D37">
        <f t="shared" si="0"/>
        <v>10.331325531005859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26.844512939453121</v>
      </c>
      <c r="D38">
        <f t="shared" si="0"/>
        <v>3.1554870605468786</v>
      </c>
      <c r="E38">
        <f t="shared" si="1"/>
        <v>0.91370391845703836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27.75821685791016</v>
      </c>
      <c r="D39">
        <f t="shared" si="0"/>
        <v>2.2417831420898402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66.730125427246094</v>
      </c>
      <c r="D40">
        <f t="shared" si="0"/>
        <v>5.7301254272460938</v>
      </c>
      <c r="E40">
        <f t="shared" si="1"/>
        <v>0.39760589599609375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66.33251953125</v>
      </c>
      <c r="D41">
        <f t="shared" si="0"/>
        <v>5.33251953125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35.871852874755859</v>
      </c>
      <c r="D42">
        <f t="shared" si="0"/>
        <v>2.1281471252441406</v>
      </c>
      <c r="E42">
        <f t="shared" si="1"/>
        <v>1.3393859863281321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34.532466888427727</v>
      </c>
      <c r="D43">
        <f t="shared" si="0"/>
        <v>3.4675331115722727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1" priority="1" operator="between">
      <formula>1000</formula>
      <formula>6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tabSelected="1" topLeftCell="A13" workbookViewId="0">
      <selection activeCell="L36" sqref="L36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207</v>
      </c>
      <c r="E1" s="1" t="s">
        <v>205</v>
      </c>
      <c r="F1" s="1" t="s">
        <v>208</v>
      </c>
      <c r="G1" s="1" t="s">
        <v>209</v>
      </c>
      <c r="H1" s="1" t="s">
        <v>210</v>
      </c>
    </row>
    <row r="2" spans="1:8" x14ac:dyDescent="0.25">
      <c r="A2" t="s">
        <v>165</v>
      </c>
      <c r="B2">
        <v>20</v>
      </c>
      <c r="C2">
        <v>26.921352386474609</v>
      </c>
      <c r="D2">
        <f>ABS(C2-B2)</f>
        <v>6.9213523864746094</v>
      </c>
      <c r="E2">
        <f>IF(RIGHT(A2,3)="MR1",ABS(C2-_xlfn.XLOOKUP(SUBSTITUTE(A2,"_MR1","_MR2"),$A:$A,$C:$C)),"")</f>
        <v>0.33460617065430043</v>
      </c>
      <c r="F2">
        <v>2</v>
      </c>
      <c r="G2" s="2">
        <v>1.5</v>
      </c>
      <c r="H2" t="s">
        <v>211</v>
      </c>
    </row>
    <row r="3" spans="1:8" x14ac:dyDescent="0.25">
      <c r="A3" t="s">
        <v>166</v>
      </c>
      <c r="B3">
        <v>20</v>
      </c>
      <c r="C3">
        <v>27.25595855712891</v>
      </c>
      <c r="D3">
        <f t="shared" ref="D3:D41" si="0">ABS(C3-B3)</f>
        <v>7.2559585571289098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211</v>
      </c>
    </row>
    <row r="4" spans="1:8" x14ac:dyDescent="0.25">
      <c r="A4" t="s">
        <v>167</v>
      </c>
      <c r="B4">
        <v>25</v>
      </c>
      <c r="C4">
        <v>23.6234245300293</v>
      </c>
      <c r="D4">
        <f t="shared" si="0"/>
        <v>1.3765754699706996</v>
      </c>
      <c r="E4">
        <f t="shared" si="1"/>
        <v>1.6079978942871094</v>
      </c>
      <c r="F4">
        <v>2</v>
      </c>
      <c r="G4" s="2">
        <v>1.5</v>
      </c>
      <c r="H4" t="s">
        <v>212</v>
      </c>
    </row>
    <row r="5" spans="1:8" x14ac:dyDescent="0.25">
      <c r="A5" t="s">
        <v>168</v>
      </c>
      <c r="B5">
        <v>25</v>
      </c>
      <c r="C5">
        <v>25.23142242431641</v>
      </c>
      <c r="D5">
        <f t="shared" si="0"/>
        <v>0.2314224243164098</v>
      </c>
      <c r="E5" t="str">
        <f t="shared" si="1"/>
        <v/>
      </c>
      <c r="F5">
        <v>2</v>
      </c>
      <c r="G5" s="2">
        <v>1.5</v>
      </c>
      <c r="H5" t="s">
        <v>212</v>
      </c>
    </row>
    <row r="6" spans="1:8" x14ac:dyDescent="0.25">
      <c r="A6" t="s">
        <v>169</v>
      </c>
      <c r="B6">
        <v>22</v>
      </c>
      <c r="C6">
        <v>22.01804161071777</v>
      </c>
      <c r="D6">
        <f t="shared" si="0"/>
        <v>1.8041610717769885E-2</v>
      </c>
      <c r="E6">
        <f t="shared" si="1"/>
        <v>0.25774955749511008</v>
      </c>
      <c r="F6">
        <v>1</v>
      </c>
      <c r="G6" s="2">
        <v>1.5</v>
      </c>
      <c r="H6" t="s">
        <v>213</v>
      </c>
    </row>
    <row r="7" spans="1:8" x14ac:dyDescent="0.25">
      <c r="A7" t="s">
        <v>170</v>
      </c>
      <c r="B7">
        <v>22</v>
      </c>
      <c r="C7">
        <v>21.76029205322266</v>
      </c>
      <c r="D7">
        <f t="shared" si="0"/>
        <v>0.2397079467773402</v>
      </c>
      <c r="E7" t="str">
        <f t="shared" si="1"/>
        <v/>
      </c>
      <c r="F7">
        <v>1</v>
      </c>
      <c r="G7" s="2">
        <v>1.5</v>
      </c>
      <c r="H7" t="s">
        <v>213</v>
      </c>
    </row>
    <row r="8" spans="1:8" x14ac:dyDescent="0.25">
      <c r="A8" t="s">
        <v>171</v>
      </c>
      <c r="B8">
        <v>29</v>
      </c>
      <c r="C8">
        <v>25.73234939575195</v>
      </c>
      <c r="D8">
        <f t="shared" si="0"/>
        <v>3.2676506042480504</v>
      </c>
      <c r="E8">
        <f t="shared" si="1"/>
        <v>0.54304313659667969</v>
      </c>
      <c r="F8">
        <v>1</v>
      </c>
      <c r="G8" s="2">
        <v>1.5</v>
      </c>
      <c r="H8" t="s">
        <v>214</v>
      </c>
    </row>
    <row r="9" spans="1:8" x14ac:dyDescent="0.25">
      <c r="A9" t="s">
        <v>172</v>
      </c>
      <c r="B9">
        <v>29</v>
      </c>
      <c r="C9">
        <v>26.275392532348629</v>
      </c>
      <c r="D9">
        <f t="shared" si="0"/>
        <v>2.7246074676513707</v>
      </c>
      <c r="E9" t="str">
        <f t="shared" si="1"/>
        <v/>
      </c>
      <c r="F9">
        <v>1</v>
      </c>
      <c r="G9" s="2">
        <v>1.5</v>
      </c>
      <c r="H9" t="s">
        <v>214</v>
      </c>
    </row>
    <row r="10" spans="1:8" x14ac:dyDescent="0.25">
      <c r="A10" t="s">
        <v>173</v>
      </c>
      <c r="B10">
        <v>23</v>
      </c>
      <c r="C10">
        <v>23.249176025390621</v>
      </c>
      <c r="D10">
        <f t="shared" si="0"/>
        <v>0.24917602539062145</v>
      </c>
      <c r="E10">
        <f t="shared" si="1"/>
        <v>0.6855697631835902</v>
      </c>
      <c r="F10">
        <v>1</v>
      </c>
      <c r="G10" s="2">
        <v>1.5</v>
      </c>
      <c r="H10" t="s">
        <v>215</v>
      </c>
    </row>
    <row r="11" spans="1:8" x14ac:dyDescent="0.25">
      <c r="A11" t="s">
        <v>174</v>
      </c>
      <c r="B11">
        <v>23</v>
      </c>
      <c r="C11">
        <v>22.563606262207031</v>
      </c>
      <c r="D11">
        <f t="shared" si="0"/>
        <v>0.43639373779296875</v>
      </c>
      <c r="E11" t="str">
        <f t="shared" si="1"/>
        <v/>
      </c>
      <c r="F11">
        <v>1</v>
      </c>
      <c r="G11" s="2">
        <v>1.5</v>
      </c>
      <c r="H11" t="s">
        <v>215</v>
      </c>
    </row>
    <row r="12" spans="1:8" x14ac:dyDescent="0.25">
      <c r="A12" t="s">
        <v>175</v>
      </c>
      <c r="B12">
        <v>25</v>
      </c>
      <c r="C12">
        <v>25.106746673583981</v>
      </c>
      <c r="D12">
        <f t="shared" si="0"/>
        <v>0.10674667358398082</v>
      </c>
      <c r="E12">
        <f t="shared" si="1"/>
        <v>0.37274169921875</v>
      </c>
      <c r="F12">
        <v>1</v>
      </c>
      <c r="G12" s="2">
        <v>1.5</v>
      </c>
      <c r="H12" t="s">
        <v>216</v>
      </c>
    </row>
    <row r="13" spans="1:8" x14ac:dyDescent="0.25">
      <c r="A13" t="s">
        <v>176</v>
      </c>
      <c r="B13">
        <v>25</v>
      </c>
      <c r="C13">
        <v>25.479488372802731</v>
      </c>
      <c r="D13">
        <f t="shared" si="0"/>
        <v>0.47948837280273082</v>
      </c>
      <c r="E13" t="str">
        <f t="shared" si="1"/>
        <v/>
      </c>
      <c r="F13">
        <v>1</v>
      </c>
      <c r="G13" s="2">
        <v>1.5</v>
      </c>
      <c r="H13" t="s">
        <v>216</v>
      </c>
    </row>
    <row r="14" spans="1:8" x14ac:dyDescent="0.25">
      <c r="A14" t="s">
        <v>206</v>
      </c>
      <c r="B14">
        <v>34</v>
      </c>
      <c r="C14">
        <v>29.98388671875</v>
      </c>
      <c r="D14">
        <f t="shared" si="0"/>
        <v>4.01611328125</v>
      </c>
      <c r="E14">
        <f t="shared" si="1"/>
        <v>6.6810493469238281</v>
      </c>
      <c r="F14">
        <v>1</v>
      </c>
      <c r="G14" s="2">
        <v>1.5</v>
      </c>
      <c r="H14" t="s">
        <v>217</v>
      </c>
    </row>
    <row r="15" spans="1:8" x14ac:dyDescent="0.25">
      <c r="A15" t="s">
        <v>178</v>
      </c>
      <c r="B15">
        <v>34</v>
      </c>
      <c r="C15">
        <v>36.664936065673828</v>
      </c>
      <c r="D15">
        <f t="shared" si="0"/>
        <v>2.6649360656738281</v>
      </c>
      <c r="E15" t="str">
        <f t="shared" si="1"/>
        <v/>
      </c>
      <c r="F15">
        <v>1</v>
      </c>
      <c r="G15" s="2">
        <v>1.5</v>
      </c>
      <c r="H15" t="s">
        <v>217</v>
      </c>
    </row>
    <row r="16" spans="1:8" x14ac:dyDescent="0.25">
      <c r="A16" t="s">
        <v>179</v>
      </c>
      <c r="B16">
        <v>20</v>
      </c>
      <c r="C16">
        <v>22.895931243896481</v>
      </c>
      <c r="D16">
        <f t="shared" si="0"/>
        <v>2.8959312438964808</v>
      </c>
      <c r="E16">
        <f t="shared" si="1"/>
        <v>0.63134384155273082</v>
      </c>
      <c r="F16">
        <v>2</v>
      </c>
      <c r="G16" s="2">
        <v>1.5</v>
      </c>
      <c r="H16" t="s">
        <v>218</v>
      </c>
    </row>
    <row r="17" spans="1:8" x14ac:dyDescent="0.25">
      <c r="A17" t="s">
        <v>180</v>
      </c>
      <c r="B17">
        <v>20</v>
      </c>
      <c r="C17">
        <v>22.26458740234375</v>
      </c>
      <c r="D17">
        <f t="shared" si="0"/>
        <v>2.26458740234375</v>
      </c>
      <c r="E17" t="str">
        <f t="shared" si="1"/>
        <v/>
      </c>
      <c r="F17">
        <v>2</v>
      </c>
      <c r="G17" s="2">
        <v>1.5</v>
      </c>
      <c r="H17" t="s">
        <v>218</v>
      </c>
    </row>
    <row r="18" spans="1:8" x14ac:dyDescent="0.25">
      <c r="A18" t="s">
        <v>181</v>
      </c>
      <c r="B18">
        <v>20</v>
      </c>
      <c r="C18">
        <v>24.87460899353027</v>
      </c>
      <c r="D18">
        <f t="shared" si="0"/>
        <v>4.8746089935302699</v>
      </c>
      <c r="E18">
        <f t="shared" si="1"/>
        <v>0.84885215759276988</v>
      </c>
      <c r="F18">
        <v>2</v>
      </c>
      <c r="G18" s="2">
        <v>1.5</v>
      </c>
      <c r="H18" t="s">
        <v>219</v>
      </c>
    </row>
    <row r="19" spans="1:8" x14ac:dyDescent="0.25">
      <c r="A19" t="s">
        <v>182</v>
      </c>
      <c r="B19">
        <v>20</v>
      </c>
      <c r="C19">
        <v>24.0257568359375</v>
      </c>
      <c r="D19">
        <f t="shared" si="0"/>
        <v>4.0257568359375</v>
      </c>
      <c r="E19" t="str">
        <f t="shared" si="1"/>
        <v/>
      </c>
      <c r="F19">
        <v>2</v>
      </c>
      <c r="G19" s="2">
        <v>1.5</v>
      </c>
      <c r="H19" t="s">
        <v>219</v>
      </c>
    </row>
    <row r="20" spans="1:8" x14ac:dyDescent="0.25">
      <c r="A20" t="s">
        <v>183</v>
      </c>
      <c r="B20">
        <v>21</v>
      </c>
      <c r="C20">
        <v>29.2642822265625</v>
      </c>
      <c r="D20">
        <f t="shared" si="0"/>
        <v>8.2642822265625</v>
      </c>
      <c r="E20">
        <f t="shared" si="1"/>
        <v>0.3047103881835902</v>
      </c>
      <c r="F20">
        <v>2</v>
      </c>
      <c r="G20" s="2">
        <v>1.5</v>
      </c>
      <c r="H20" t="s">
        <v>220</v>
      </c>
    </row>
    <row r="21" spans="1:8" x14ac:dyDescent="0.25">
      <c r="A21" t="s">
        <v>184</v>
      </c>
      <c r="B21">
        <v>21</v>
      </c>
      <c r="C21">
        <v>28.95957183837891</v>
      </c>
      <c r="D21">
        <f t="shared" si="0"/>
        <v>7.9595718383789098</v>
      </c>
      <c r="E21" t="str">
        <f t="shared" si="1"/>
        <v/>
      </c>
      <c r="F21">
        <v>2</v>
      </c>
      <c r="G21" s="2">
        <v>1.5</v>
      </c>
      <c r="H21" t="s">
        <v>220</v>
      </c>
    </row>
    <row r="22" spans="1:8" x14ac:dyDescent="0.25">
      <c r="A22" t="s">
        <v>185</v>
      </c>
      <c r="B22">
        <v>23</v>
      </c>
      <c r="C22">
        <v>31.0308723449707</v>
      </c>
      <c r="D22">
        <f t="shared" si="0"/>
        <v>8.0308723449706996</v>
      </c>
      <c r="E22">
        <f t="shared" si="1"/>
        <v>3.6359825134277379</v>
      </c>
      <c r="F22">
        <v>2</v>
      </c>
      <c r="G22" s="2">
        <v>1.5</v>
      </c>
      <c r="H22" t="s">
        <v>221</v>
      </c>
    </row>
    <row r="23" spans="1:8" x14ac:dyDescent="0.25">
      <c r="A23" t="s">
        <v>186</v>
      </c>
      <c r="B23">
        <v>23</v>
      </c>
      <c r="C23">
        <v>34.666854858398438</v>
      </c>
      <c r="D23">
        <f t="shared" si="0"/>
        <v>11.666854858398438</v>
      </c>
      <c r="E23" t="str">
        <f t="shared" si="1"/>
        <v/>
      </c>
      <c r="F23">
        <v>2</v>
      </c>
      <c r="G23" s="2">
        <v>1.5</v>
      </c>
      <c r="H23" t="s">
        <v>221</v>
      </c>
    </row>
    <row r="24" spans="1:8" x14ac:dyDescent="0.25">
      <c r="A24" t="s">
        <v>187</v>
      </c>
      <c r="B24">
        <v>19</v>
      </c>
      <c r="C24">
        <v>26.22995758056641</v>
      </c>
      <c r="D24">
        <f t="shared" si="0"/>
        <v>7.2299575805664098</v>
      </c>
      <c r="E24">
        <f t="shared" si="1"/>
        <v>0.42560005187987926</v>
      </c>
      <c r="F24">
        <v>2</v>
      </c>
      <c r="G24" s="2">
        <v>1.5</v>
      </c>
      <c r="H24" t="s">
        <v>222</v>
      </c>
    </row>
    <row r="25" spans="1:8" x14ac:dyDescent="0.25">
      <c r="A25" t="s">
        <v>188</v>
      </c>
      <c r="B25">
        <v>19</v>
      </c>
      <c r="C25">
        <v>26.655557632446289</v>
      </c>
      <c r="D25">
        <f t="shared" si="0"/>
        <v>7.6555576324462891</v>
      </c>
      <c r="E25" t="str">
        <f t="shared" si="1"/>
        <v/>
      </c>
      <c r="F25">
        <v>2</v>
      </c>
      <c r="G25" s="2">
        <v>1.5</v>
      </c>
      <c r="H25" t="s">
        <v>222</v>
      </c>
    </row>
    <row r="26" spans="1:8" x14ac:dyDescent="0.25">
      <c r="A26" t="s">
        <v>189</v>
      </c>
      <c r="B26">
        <v>20</v>
      </c>
      <c r="C26">
        <v>20.174263000488281</v>
      </c>
      <c r="D26">
        <f t="shared" si="0"/>
        <v>0.17426300048828125</v>
      </c>
      <c r="E26">
        <f t="shared" si="1"/>
        <v>0.61604881286621094</v>
      </c>
      <c r="F26">
        <v>2</v>
      </c>
      <c r="G26" s="2">
        <v>1.5</v>
      </c>
      <c r="H26" t="s">
        <v>223</v>
      </c>
    </row>
    <row r="27" spans="1:8" x14ac:dyDescent="0.25">
      <c r="A27" t="s">
        <v>190</v>
      </c>
      <c r="B27">
        <v>20</v>
      </c>
      <c r="C27">
        <v>19.55821418762207</v>
      </c>
      <c r="D27">
        <f t="shared" si="0"/>
        <v>0.44178581237792969</v>
      </c>
      <c r="E27" t="str">
        <f t="shared" si="1"/>
        <v/>
      </c>
      <c r="F27">
        <v>2</v>
      </c>
      <c r="G27" s="2">
        <v>1.5</v>
      </c>
      <c r="H27" t="s">
        <v>223</v>
      </c>
    </row>
    <row r="28" spans="1:8" x14ac:dyDescent="0.25">
      <c r="A28" t="s">
        <v>191</v>
      </c>
      <c r="B28">
        <v>29</v>
      </c>
      <c r="C28">
        <v>28.130588531494141</v>
      </c>
      <c r="D28">
        <f t="shared" si="0"/>
        <v>0.86941146850585938</v>
      </c>
      <c r="E28">
        <f t="shared" si="1"/>
        <v>3.7214050292968786</v>
      </c>
      <c r="F28">
        <v>2</v>
      </c>
      <c r="G28" s="2">
        <v>1.5</v>
      </c>
      <c r="H28" t="s">
        <v>224</v>
      </c>
    </row>
    <row r="29" spans="1:8" x14ac:dyDescent="0.25">
      <c r="A29" t="s">
        <v>192</v>
      </c>
      <c r="B29">
        <v>29</v>
      </c>
      <c r="C29">
        <v>31.851993560791019</v>
      </c>
      <c r="D29">
        <f t="shared" si="0"/>
        <v>2.8519935607910192</v>
      </c>
      <c r="E29" t="str">
        <f t="shared" si="1"/>
        <v/>
      </c>
      <c r="F29">
        <v>2</v>
      </c>
      <c r="G29" s="2">
        <v>1.5</v>
      </c>
      <c r="H29" t="s">
        <v>224</v>
      </c>
    </row>
    <row r="30" spans="1:8" x14ac:dyDescent="0.25">
      <c r="A30" t="s">
        <v>193</v>
      </c>
      <c r="B30">
        <v>28</v>
      </c>
      <c r="C30">
        <v>25.40913200378418</v>
      </c>
      <c r="D30">
        <f t="shared" si="0"/>
        <v>2.5908679962158203</v>
      </c>
      <c r="E30">
        <f t="shared" si="1"/>
        <v>0.46774864196776988</v>
      </c>
      <c r="F30">
        <v>2</v>
      </c>
      <c r="G30" s="2">
        <v>1.5</v>
      </c>
      <c r="H30" t="s">
        <v>225</v>
      </c>
    </row>
    <row r="31" spans="1:8" x14ac:dyDescent="0.25">
      <c r="A31" t="s">
        <v>194</v>
      </c>
      <c r="B31">
        <v>28</v>
      </c>
      <c r="C31">
        <v>24.94138336181641</v>
      </c>
      <c r="D31">
        <f t="shared" si="0"/>
        <v>3.0586166381835902</v>
      </c>
      <c r="E31" t="str">
        <f t="shared" si="1"/>
        <v/>
      </c>
      <c r="F31">
        <v>2</v>
      </c>
      <c r="G31" s="2">
        <v>1.5</v>
      </c>
      <c r="H31" t="s">
        <v>225</v>
      </c>
    </row>
    <row r="32" spans="1:8" x14ac:dyDescent="0.25">
      <c r="A32" t="s">
        <v>195</v>
      </c>
      <c r="B32">
        <v>20</v>
      </c>
      <c r="C32">
        <v>18.174270629882809</v>
      </c>
      <c r="D32">
        <f t="shared" si="0"/>
        <v>1.8257293701171911</v>
      </c>
      <c r="E32">
        <f t="shared" si="1"/>
        <v>1.4351940155029297</v>
      </c>
      <c r="F32">
        <v>1</v>
      </c>
      <c r="G32" s="2">
        <v>1.5</v>
      </c>
      <c r="H32" t="s">
        <v>226</v>
      </c>
    </row>
    <row r="33" spans="1:8" x14ac:dyDescent="0.25">
      <c r="A33" t="s">
        <v>196</v>
      </c>
      <c r="B33">
        <v>20</v>
      </c>
      <c r="C33">
        <v>19.609464645385739</v>
      </c>
      <c r="D33">
        <f t="shared" si="0"/>
        <v>0.39053535461426137</v>
      </c>
      <c r="E33" t="str">
        <f t="shared" si="1"/>
        <v/>
      </c>
      <c r="F33">
        <v>1</v>
      </c>
      <c r="G33" s="2">
        <v>1.5</v>
      </c>
      <c r="H33" t="s">
        <v>226</v>
      </c>
    </row>
    <row r="34" spans="1:8" x14ac:dyDescent="0.25">
      <c r="A34" t="s">
        <v>197</v>
      </c>
      <c r="B34">
        <v>22</v>
      </c>
      <c r="C34">
        <v>30.958271026611332</v>
      </c>
      <c r="D34">
        <f t="shared" si="0"/>
        <v>8.9582710266113317</v>
      </c>
      <c r="E34">
        <f t="shared" si="1"/>
        <v>2.4990501403808629</v>
      </c>
      <c r="F34">
        <v>1</v>
      </c>
      <c r="G34" s="2">
        <v>1.5</v>
      </c>
      <c r="H34" t="s">
        <v>227</v>
      </c>
    </row>
    <row r="35" spans="1:8" x14ac:dyDescent="0.25">
      <c r="A35" t="s">
        <v>198</v>
      </c>
      <c r="B35">
        <v>22</v>
      </c>
      <c r="C35">
        <v>28.459220886230469</v>
      </c>
      <c r="D35">
        <f t="shared" si="0"/>
        <v>6.4592208862304688</v>
      </c>
      <c r="E35" t="str">
        <f t="shared" si="1"/>
        <v/>
      </c>
      <c r="F35">
        <v>1</v>
      </c>
      <c r="G35" s="2">
        <v>1.5</v>
      </c>
      <c r="H35" t="s">
        <v>227</v>
      </c>
    </row>
    <row r="36" spans="1:8" x14ac:dyDescent="0.25">
      <c r="A36" t="s">
        <v>199</v>
      </c>
      <c r="B36">
        <v>22</v>
      </c>
      <c r="C36">
        <v>21.245498657226559</v>
      </c>
      <c r="D36">
        <f t="shared" si="0"/>
        <v>0.75450134277344105</v>
      </c>
      <c r="E36">
        <f t="shared" si="1"/>
        <v>2.0331993103027273</v>
      </c>
      <c r="F36">
        <v>1</v>
      </c>
      <c r="G36" s="2">
        <v>1.5</v>
      </c>
      <c r="H36" t="s">
        <v>228</v>
      </c>
    </row>
    <row r="37" spans="1:8" x14ac:dyDescent="0.25">
      <c r="A37" t="s">
        <v>200</v>
      </c>
      <c r="B37">
        <v>22</v>
      </c>
      <c r="C37">
        <v>19.212299346923832</v>
      </c>
      <c r="D37">
        <f t="shared" si="0"/>
        <v>2.7877006530761683</v>
      </c>
      <c r="E37" t="str">
        <f t="shared" si="1"/>
        <v/>
      </c>
      <c r="F37">
        <v>1</v>
      </c>
      <c r="G37" s="2">
        <v>1.5</v>
      </c>
      <c r="H37" t="s">
        <v>228</v>
      </c>
    </row>
    <row r="38" spans="1:8" x14ac:dyDescent="0.25">
      <c r="A38" t="s">
        <v>201</v>
      </c>
      <c r="B38">
        <v>20</v>
      </c>
      <c r="C38">
        <v>21.265476226806641</v>
      </c>
      <c r="D38">
        <f t="shared" si="0"/>
        <v>1.2654762268066406</v>
      </c>
      <c r="E38">
        <f t="shared" si="1"/>
        <v>1.2283668518066406</v>
      </c>
      <c r="F38">
        <v>2</v>
      </c>
      <c r="G38" s="2">
        <v>1.5</v>
      </c>
      <c r="H38" t="s">
        <v>229</v>
      </c>
    </row>
    <row r="39" spans="1:8" x14ac:dyDescent="0.25">
      <c r="A39" t="s">
        <v>202</v>
      </c>
      <c r="B39">
        <v>20</v>
      </c>
      <c r="C39">
        <v>20.037109375</v>
      </c>
      <c r="D39">
        <f t="shared" si="0"/>
        <v>3.7109375E-2</v>
      </c>
      <c r="E39" t="str">
        <f t="shared" si="1"/>
        <v/>
      </c>
      <c r="F39">
        <v>2</v>
      </c>
      <c r="G39" s="2">
        <v>1.5</v>
      </c>
      <c r="H39" t="s">
        <v>229</v>
      </c>
    </row>
    <row r="40" spans="1:8" x14ac:dyDescent="0.25">
      <c r="A40" t="s">
        <v>203</v>
      </c>
      <c r="B40">
        <v>26</v>
      </c>
      <c r="C40">
        <v>27.095893859863281</v>
      </c>
      <c r="D40">
        <f t="shared" si="0"/>
        <v>1.0958938598632813</v>
      </c>
      <c r="E40">
        <f t="shared" si="1"/>
        <v>0.60721778869629262</v>
      </c>
      <c r="F40">
        <v>2</v>
      </c>
      <c r="G40" s="2">
        <v>1.5</v>
      </c>
      <c r="H40" t="s">
        <v>230</v>
      </c>
    </row>
    <row r="41" spans="1:8" x14ac:dyDescent="0.25">
      <c r="A41" t="s">
        <v>204</v>
      </c>
      <c r="B41">
        <v>26</v>
      </c>
      <c r="C41">
        <v>26.488676071166989</v>
      </c>
      <c r="D41">
        <f t="shared" si="0"/>
        <v>0.48867607116698863</v>
      </c>
      <c r="E41" t="str">
        <f t="shared" si="1"/>
        <v/>
      </c>
      <c r="F41">
        <v>2</v>
      </c>
      <c r="G41" s="2">
        <v>1.5</v>
      </c>
      <c r="H41" t="s">
        <v>230</v>
      </c>
    </row>
  </sheetData>
  <phoneticPr fontId="2" type="noConversion"/>
  <conditionalFormatting sqref="E2:E41">
    <cfRule type="cellIs" dxfId="0" priority="1" operator="between">
      <formula>1000</formula>
      <formula>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Maclaren_T1WI</vt:lpstr>
      <vt:lpstr>MMRR_T1WI</vt:lpstr>
      <vt:lpstr>OAS1_T1WI</vt:lpstr>
      <vt:lpstr>Maclaren_GMP</vt:lpstr>
      <vt:lpstr>MMRR_GMP</vt:lpstr>
      <vt:lpstr>OAS1_GMP</vt:lpstr>
      <vt:lpstr>Maclaren_WMP</vt:lpstr>
      <vt:lpstr>MMRR_WMP</vt:lpstr>
      <vt:lpstr>OAS1_WMP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Ying-Zhu Weng</cp:lastModifiedBy>
  <dcterms:created xsi:type="dcterms:W3CDTF">2026-10-02T06:56:58Z</dcterms:created>
  <dcterms:modified xsi:type="dcterms:W3CDTF">2026-10-08T09:50:58Z</dcterms:modified>
</cp:coreProperties>
</file>